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s" sheetId="1" state="visible" r:id="rId1"/>
    <sheet xmlns:r="http://schemas.openxmlformats.org/officeDocument/2006/relationships" name="VCs (dee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36" customWidth="1" min="3" max="3"/>
    <col width="22" customWidth="1" min="4" max="4"/>
    <col width="8" customWidth="1" min="5" max="5"/>
    <col width="48" customWidth="1" min="6" max="6"/>
    <col width="60" customWidth="1" min="7" max="7"/>
  </cols>
  <sheetData>
    <row r="1" ht="28" customHeight="1">
      <c r="A1" s="1" t="inlineStr">
        <is>
          <t>Country</t>
        </is>
      </c>
      <c r="B1" t="inlineStr">
        <is>
          <t>Region</t>
        </is>
      </c>
      <c r="C1" s="1" t="inlineStr">
        <is>
          <t>Rank</t>
        </is>
      </c>
      <c r="D1" s="1" t="inlineStr">
        <is>
          <t>VC</t>
        </is>
      </c>
      <c r="E1" s="1" t="inlineStr">
        <is>
          <t>Sectors (best-effort)</t>
        </is>
      </c>
      <c r="F1" s="1" t="inlineStr">
        <is>
          <t>Fit</t>
        </is>
      </c>
      <c r="G1" s="1" t="inlineStr">
        <is>
          <t>Portfolio URL</t>
        </is>
      </c>
      <c r="H1" s="1" t="inlineStr">
        <is>
          <t>Note</t>
        </is>
      </c>
    </row>
    <row r="2">
      <c r="A2" s="2" t="inlineStr">
        <is>
          <t>DE</t>
        </is>
      </c>
      <c r="B2" t="inlineStr">
        <is>
          <t>EU</t>
        </is>
      </c>
      <c r="C2" s="2" t="n">
        <v>1</v>
      </c>
      <c r="D2" s="2" t="inlineStr">
        <is>
          <t>High-Tech Gründerfonds (HTGF)</t>
        </is>
      </c>
      <c r="E2" s="2" t="inlineStr">
        <is>
          <t>DEEPTECH+IND</t>
        </is>
      </c>
      <c r="F2" s="3" t="inlineStr">
        <is>
          <t>YES</t>
        </is>
      </c>
      <c r="G2" s="2" t="inlineStr">
        <is>
          <t>https://www.htgf.de/en/portfolio/</t>
        </is>
      </c>
      <c r="H2" s="2" t="inlineStr">
        <is>
          <t>deep tech generalist incl. industrial bio + chem</t>
        </is>
      </c>
    </row>
    <row r="3">
      <c r="A3" s="2" t="inlineStr">
        <is>
          <t>DE</t>
        </is>
      </c>
      <c r="B3" t="inlineStr">
        <is>
          <t>EU</t>
        </is>
      </c>
      <c r="C3" s="2" t="n">
        <v>2</v>
      </c>
      <c r="D3" s="2" t="inlineStr">
        <is>
          <t>Bayern Kapital</t>
        </is>
      </c>
      <c r="E3" s="2" t="inlineStr">
        <is>
          <t>DEEPTECH</t>
        </is>
      </c>
      <c r="F3" s="4" t="inlineStr">
        <is>
          <t>MAYBE</t>
        </is>
      </c>
      <c r="G3" s="2" t="inlineStr">
        <is>
          <t>https://www.bayernkapital.de/en/portfolio</t>
        </is>
      </c>
      <c r="H3" s="2" t="inlineStr">
        <is>
          <t>Bavarian regional fund-of-funds, broad</t>
        </is>
      </c>
    </row>
    <row r="4">
      <c r="A4" s="2" t="inlineStr">
        <is>
          <t>DE</t>
        </is>
      </c>
      <c r="B4" t="inlineStr">
        <is>
          <t>EU</t>
        </is>
      </c>
      <c r="C4" s="2" t="n">
        <v>4</v>
      </c>
      <c r="D4" s="2" t="inlineStr">
        <is>
          <t>HV Capital</t>
        </is>
      </c>
      <c r="E4" s="2" t="inlineStr">
        <is>
          <t>GENERALIST</t>
        </is>
      </c>
      <c r="F4" s="4" t="inlineStr">
        <is>
          <t>MAYBE</t>
        </is>
      </c>
      <c r="G4" s="2" t="inlineStr">
        <is>
          <t>https://www.hvcapital.com/companies</t>
        </is>
      </c>
      <c r="H4" s="2" t="inlineStr">
        <is>
          <t>broad; occasional industrial</t>
        </is>
      </c>
    </row>
    <row r="5">
      <c r="A5" s="2" t="inlineStr">
        <is>
          <t>DE</t>
        </is>
      </c>
      <c r="B5" t="inlineStr">
        <is>
          <t>EU</t>
        </is>
      </c>
      <c r="C5" s="2" t="n">
        <v>7</v>
      </c>
      <c r="D5" s="2" t="inlineStr">
        <is>
          <t>Project A</t>
        </is>
      </c>
      <c r="E5" s="2" t="inlineStr">
        <is>
          <t>GENERALIST</t>
        </is>
      </c>
      <c r="F5" s="4" t="inlineStr">
        <is>
          <t>MAYBE</t>
        </is>
      </c>
      <c r="G5" s="2" t="inlineStr">
        <is>
          <t>https://www.project-a.com/portfolio/</t>
        </is>
      </c>
      <c r="H5" s="2" t="inlineStr">
        <is>
          <t>B2B + some industrial</t>
        </is>
      </c>
    </row>
    <row r="6">
      <c r="A6" s="2" t="inlineStr">
        <is>
          <t>DE</t>
        </is>
      </c>
      <c r="B6" t="inlineStr">
        <is>
          <t>EU</t>
        </is>
      </c>
      <c r="C6" s="2" t="n">
        <v>8</v>
      </c>
      <c r="D6" s="2" t="inlineStr">
        <is>
          <t>Picus Capital</t>
        </is>
      </c>
      <c r="E6" s="2" t="inlineStr">
        <is>
          <t>GENERALIST</t>
        </is>
      </c>
      <c r="F6" s="4" t="inlineStr">
        <is>
          <t>MAYBE</t>
        </is>
      </c>
      <c r="G6" s="2" t="inlineStr">
        <is>
          <t>https://www.picuscap.com/portfolio</t>
        </is>
      </c>
      <c r="H6" s="2" t="inlineStr">
        <is>
          <t>broad seed</t>
        </is>
      </c>
    </row>
    <row r="7">
      <c r="A7" s="2" t="inlineStr">
        <is>
          <t>DE</t>
        </is>
      </c>
      <c r="B7" t="inlineStr">
        <is>
          <t>EU</t>
        </is>
      </c>
      <c r="C7" s="2" t="n">
        <v>10</v>
      </c>
      <c r="D7" s="2" t="inlineStr">
        <is>
          <t>Vsquared Ventures</t>
        </is>
      </c>
      <c r="E7" s="2" t="inlineStr">
        <is>
          <t>DEEPTECH+IND</t>
        </is>
      </c>
      <c r="F7" s="3" t="inlineStr">
        <is>
          <t>YES</t>
        </is>
      </c>
      <c r="G7" s="2" t="inlineStr">
        <is>
          <t>https://vsquared.vc/portfolio/</t>
        </is>
      </c>
      <c r="H7" s="2" t="inlineStr">
        <is>
          <t>deep tech, defense, industrial AI</t>
        </is>
      </c>
    </row>
    <row r="8">
      <c r="A8" s="2" t="inlineStr">
        <is>
          <t>DE</t>
        </is>
      </c>
      <c r="B8" t="inlineStr">
        <is>
          <t>EU</t>
        </is>
      </c>
      <c r="C8" s="2" t="n">
        <v>11</v>
      </c>
      <c r="D8" s="2" t="inlineStr">
        <is>
          <t>Atlantic Labs</t>
        </is>
      </c>
      <c r="E8" s="2" t="inlineStr">
        <is>
          <t>GENERALIST</t>
        </is>
      </c>
      <c r="F8" s="4" t="inlineStr">
        <is>
          <t>MAYBE</t>
        </is>
      </c>
      <c r="G8" s="2" t="inlineStr">
        <is>
          <t>https://atlanticlabs.com/</t>
        </is>
      </c>
      <c r="H8" s="2" t="inlineStr">
        <is>
          <t>B2B + some climate</t>
        </is>
      </c>
    </row>
    <row r="9">
      <c r="A9" s="2" t="inlineStr">
        <is>
          <t>DE</t>
        </is>
      </c>
      <c r="B9" t="inlineStr">
        <is>
          <t>EU</t>
        </is>
      </c>
      <c r="C9" s="2" t="n">
        <v>12</v>
      </c>
      <c r="D9" s="2" t="inlineStr">
        <is>
          <t>468 Capital</t>
        </is>
      </c>
      <c r="E9" s="2" t="inlineStr">
        <is>
          <t>DEEPTECH+CLIMATE</t>
        </is>
      </c>
      <c r="F9" s="3" t="inlineStr">
        <is>
          <t>YES</t>
        </is>
      </c>
      <c r="G9" s="2" t="inlineStr">
        <is>
          <t>https://www.468.capital/portfolio</t>
        </is>
      </c>
      <c r="H9" s="2" t="inlineStr">
        <is>
          <t>deep tech + climate explicit</t>
        </is>
      </c>
    </row>
    <row r="10">
      <c r="A10" s="2" t="inlineStr">
        <is>
          <t>DE</t>
        </is>
      </c>
      <c r="B10" t="inlineStr">
        <is>
          <t>EU</t>
        </is>
      </c>
      <c r="C10" s="2" t="n">
        <v>13</v>
      </c>
      <c r="D10" s="2" t="inlineStr">
        <is>
          <t>Redstone</t>
        </is>
      </c>
      <c r="E10" s="2" t="inlineStr">
        <is>
          <t>DEEPTECH</t>
        </is>
      </c>
      <c r="F10" s="4" t="inlineStr">
        <is>
          <t>MAYBE</t>
        </is>
      </c>
      <c r="G10" s="2" t="inlineStr">
        <is>
          <t>https://redstone.vc/portfolio/</t>
        </is>
      </c>
      <c r="H10" s="2" t="inlineStr">
        <is>
          <t>manages multiple thesis funds incl. climate</t>
        </is>
      </c>
    </row>
    <row r="11">
      <c r="A11" s="2" t="inlineStr">
        <is>
          <t>DE</t>
        </is>
      </c>
      <c r="B11" t="inlineStr">
        <is>
          <t>EU</t>
        </is>
      </c>
      <c r="C11" s="2" t="n">
        <v>14</v>
      </c>
      <c r="D11" s="2" t="inlineStr">
        <is>
          <t>IBB Ventures</t>
        </is>
      </c>
      <c r="E11" s="2" t="inlineStr">
        <is>
          <t>GENERALIST</t>
        </is>
      </c>
      <c r="F11" s="4" t="inlineStr">
        <is>
          <t>MAYBE</t>
        </is>
      </c>
      <c r="G11" s="2" t="inlineStr">
        <is>
          <t>https://www.ibbventures.de/en/portfolio</t>
        </is>
      </c>
      <c r="H11" s="2" t="inlineStr">
        <is>
          <t>Berlin regional</t>
        </is>
      </c>
    </row>
    <row r="12">
      <c r="A12" s="2" t="inlineStr">
        <is>
          <t>DE</t>
        </is>
      </c>
      <c r="B12" t="inlineStr">
        <is>
          <t>EU</t>
        </is>
      </c>
      <c r="C12" s="2" t="n">
        <v>15</v>
      </c>
      <c r="D12" s="2" t="inlineStr">
        <is>
          <t>b2venture</t>
        </is>
      </c>
      <c r="E12" s="2" t="inlineStr">
        <is>
          <t>GENERALIST</t>
        </is>
      </c>
      <c r="F12" s="4" t="inlineStr">
        <is>
          <t>MAYBE</t>
        </is>
      </c>
      <c r="G12" s="2" t="inlineStr">
        <is>
          <t>https://www.b2venture.vc/portfolio</t>
        </is>
      </c>
      <c r="H12" s="2" t="inlineStr">
        <is>
          <t>broad; some industrial</t>
        </is>
      </c>
    </row>
    <row r="13">
      <c r="A13" s="2" t="inlineStr">
        <is>
          <t>DE</t>
        </is>
      </c>
      <c r="B13" t="inlineStr">
        <is>
          <t>EU</t>
        </is>
      </c>
      <c r="C13" s="2" t="n">
        <v>18</v>
      </c>
      <c r="D13" s="2" t="inlineStr">
        <is>
          <t>Foundamental</t>
        </is>
      </c>
      <c r="E13" s="2" t="inlineStr">
        <is>
          <t>IND</t>
        </is>
      </c>
      <c r="F13" s="3" t="inlineStr">
        <is>
          <t>YES</t>
        </is>
      </c>
      <c r="G13" s="2" t="inlineStr">
        <is>
          <t>https://www.foundamental.com/portfolio</t>
        </is>
      </c>
      <c r="H13" s="2" t="inlineStr">
        <is>
          <t>construction + industrial tech — strong fit</t>
        </is>
      </c>
    </row>
    <row r="14">
      <c r="A14" s="2" t="inlineStr">
        <is>
          <t>DE</t>
        </is>
      </c>
      <c r="B14" t="inlineStr">
        <is>
          <t>EU</t>
        </is>
      </c>
      <c r="C14" s="2" t="n">
        <v>19</v>
      </c>
      <c r="D14" s="2" t="inlineStr">
        <is>
          <t>Capnamic</t>
        </is>
      </c>
      <c r="E14" s="2" t="inlineStr">
        <is>
          <t>GENERALIST</t>
        </is>
      </c>
      <c r="F14" s="4" t="inlineStr">
        <is>
          <t>MAYBE</t>
        </is>
      </c>
      <c r="G14" s="2" t="inlineStr">
        <is>
          <t>https://www.capnamic.com/portfolio</t>
        </is>
      </c>
      <c r="H14" s="2" t="inlineStr">
        <is>
          <t>broad early-stage</t>
        </is>
      </c>
    </row>
    <row r="15">
      <c r="A15" s="2" t="inlineStr">
        <is>
          <t>DE</t>
        </is>
      </c>
      <c r="B15" t="inlineStr">
        <is>
          <t>EU</t>
        </is>
      </c>
      <c r="C15" s="2" t="n">
        <v>20</v>
      </c>
      <c r="D15" s="2" t="inlineStr">
        <is>
          <t>Leaps by Bayer</t>
        </is>
      </c>
      <c r="E15" s="2" t="inlineStr">
        <is>
          <t>FOOD+BIO</t>
        </is>
      </c>
      <c r="F15" s="3" t="inlineStr">
        <is>
          <t>YES</t>
        </is>
      </c>
      <c r="G15" s="2" t="inlineStr">
        <is>
          <t>https://leaps.bayer.com/portfolio/</t>
        </is>
      </c>
      <c r="H15" s="2" t="inlineStr">
        <is>
          <t>food, biotech, agri — direct LP fit</t>
        </is>
      </c>
    </row>
    <row r="16">
      <c r="A16" s="2" t="inlineStr">
        <is>
          <t>DE</t>
        </is>
      </c>
      <c r="B16" t="inlineStr">
        <is>
          <t>EU</t>
        </is>
      </c>
      <c r="C16" s="2" t="n">
        <v>21</v>
      </c>
      <c r="D16" s="2" t="inlineStr">
        <is>
          <t>Target Global</t>
        </is>
      </c>
      <c r="E16" s="2" t="inlineStr">
        <is>
          <t>GENERALIST</t>
        </is>
      </c>
      <c r="F16" s="4" t="inlineStr">
        <is>
          <t>MAYBE</t>
        </is>
      </c>
      <c r="G16" s="2" t="inlineStr">
        <is>
          <t>https://www.targetglobal.vc/portfolio/</t>
        </is>
      </c>
      <c r="H16" s="2" t="inlineStr">
        <is>
          <t>broad</t>
        </is>
      </c>
    </row>
    <row r="17">
      <c r="A17" s="2" t="inlineStr">
        <is>
          <t>DE</t>
        </is>
      </c>
      <c r="B17" t="inlineStr">
        <is>
          <t>EU</t>
        </is>
      </c>
      <c r="C17" s="2" t="n">
        <v>22</v>
      </c>
      <c r="D17" s="2" t="inlineStr">
        <is>
          <t>10x Founders</t>
        </is>
      </c>
      <c r="E17" s="2" t="inlineStr">
        <is>
          <t>GENERALIST</t>
        </is>
      </c>
      <c r="F17" s="4" t="inlineStr">
        <is>
          <t>MAYBE</t>
        </is>
      </c>
      <c r="G17" s="2" t="inlineStr">
        <is>
          <t>https://www.10xfounders.com/portfolio</t>
        </is>
      </c>
      <c r="H17" s="2" t="inlineStr">
        <is>
          <t>broad</t>
        </is>
      </c>
    </row>
    <row r="18">
      <c r="A18" s="2" t="inlineStr">
        <is>
          <t>DE</t>
        </is>
      </c>
      <c r="B18" t="inlineStr">
        <is>
          <t>EU</t>
        </is>
      </c>
      <c r="C18" s="2" t="n">
        <v>23</v>
      </c>
      <c r="D18" s="2" t="inlineStr">
        <is>
          <t>Robert Bosch Venture Capital (RBVC) / Bosch Ventures</t>
        </is>
      </c>
      <c r="E18" s="2" t="inlineStr">
        <is>
          <t>IND+IND-AI</t>
        </is>
      </c>
      <c r="F18" s="3" t="inlineStr">
        <is>
          <t>YES</t>
        </is>
      </c>
      <c r="G18" s="2" t="inlineStr">
        <is>
          <t>https://www.bosch-ventures.com/portfolio/</t>
        </is>
      </c>
      <c r="H18" s="2" t="inlineStr">
        <is>
          <t>industrial CVC — direct fit</t>
        </is>
      </c>
    </row>
    <row r="19">
      <c r="A19" s="2" t="inlineStr">
        <is>
          <t>DE</t>
        </is>
      </c>
      <c r="B19" t="inlineStr">
        <is>
          <t>EU</t>
        </is>
      </c>
      <c r="C19" s="2" t="n">
        <v>24</v>
      </c>
      <c r="D19" s="2" t="inlineStr">
        <is>
          <t>UVC Partners</t>
        </is>
      </c>
      <c r="E19" s="2" t="inlineStr">
        <is>
          <t>IND+DEEPTECH</t>
        </is>
      </c>
      <c r="F19" s="3" t="inlineStr">
        <is>
          <t>YES</t>
        </is>
      </c>
      <c r="G19" s="2" t="inlineStr">
        <is>
          <t>https://www.uvcpartners.com/portfolio</t>
        </is>
      </c>
      <c r="H19" s="2" t="inlineStr">
        <is>
          <t>deep tech industrial</t>
        </is>
      </c>
    </row>
    <row r="20">
      <c r="A20" s="2" t="inlineStr">
        <is>
          <t>DE</t>
        </is>
      </c>
      <c r="B20" t="inlineStr">
        <is>
          <t>EU</t>
        </is>
      </c>
      <c r="C20" s="2" t="n">
        <v>28</v>
      </c>
      <c r="D20" s="2" t="inlineStr">
        <is>
          <t>TGFS (Technologiegründerfonds Sachsen)</t>
        </is>
      </c>
      <c r="E20" s="2" t="inlineStr">
        <is>
          <t>DEEPTECH</t>
        </is>
      </c>
      <c r="F20" s="4" t="inlineStr">
        <is>
          <t>MAYBE</t>
        </is>
      </c>
      <c r="G20" s="2" t="inlineStr">
        <is>
          <t>https://www.tgfs.de/portfolio/</t>
        </is>
      </c>
      <c r="H20" s="2" t="inlineStr">
        <is>
          <t>Saxony regional</t>
        </is>
      </c>
    </row>
    <row r="21">
      <c r="A21" s="2" t="inlineStr">
        <is>
          <t>DE</t>
        </is>
      </c>
      <c r="B21" t="inlineStr">
        <is>
          <t>EU</t>
        </is>
      </c>
      <c r="C21" s="2" t="n">
        <v>30</v>
      </c>
      <c r="D21" s="2" t="inlineStr">
        <is>
          <t>FoodLabs</t>
        </is>
      </c>
      <c r="E21" s="2" t="inlineStr">
        <is>
          <t>FOOD+CLIMATE</t>
        </is>
      </c>
      <c r="F21" s="3" t="inlineStr">
        <is>
          <t>YES</t>
        </is>
      </c>
      <c r="G21" s="2" t="inlineStr">
        <is>
          <t>https://www.foodlabs.com/portfolio</t>
        </is>
      </c>
      <c r="H21" s="2" t="inlineStr">
        <is>
          <t>food + climate — direct fit</t>
        </is>
      </c>
    </row>
    <row r="22">
      <c r="A22" s="2" t="inlineStr">
        <is>
          <t>DE</t>
        </is>
      </c>
      <c r="B22" t="inlineStr">
        <is>
          <t>EU</t>
        </is>
      </c>
      <c r="C22" s="2" t="n">
        <v>31</v>
      </c>
      <c r="D22" s="2" t="inlineStr">
        <is>
          <t>BlueYard Capital</t>
        </is>
      </c>
      <c r="E22" s="2" t="inlineStr">
        <is>
          <t>DEEPTECH</t>
        </is>
      </c>
      <c r="F22" s="4" t="inlineStr">
        <is>
          <t>MAYBE</t>
        </is>
      </c>
      <c r="G22" s="2" t="inlineStr">
        <is>
          <t>https://blueyard.com/portfolio</t>
        </is>
      </c>
      <c r="H22" s="2" t="inlineStr">
        <is>
          <t>frontier deeptech</t>
        </is>
      </c>
    </row>
    <row r="23">
      <c r="A23" s="2" t="inlineStr">
        <is>
          <t>DE</t>
        </is>
      </c>
      <c r="B23" t="inlineStr">
        <is>
          <t>EU</t>
        </is>
      </c>
      <c r="C23" s="2" t="n">
        <v>32</v>
      </c>
      <c r="D23" s="2" t="inlineStr">
        <is>
          <t>eCAPITAL</t>
        </is>
      </c>
      <c r="E23" s="2" t="inlineStr">
        <is>
          <t>DEEPTECH+CLIMATE</t>
        </is>
      </c>
      <c r="F23" s="3" t="inlineStr">
        <is>
          <t>YES</t>
        </is>
      </c>
      <c r="G23" s="2" t="inlineStr">
        <is>
          <t>https://www.ecapital.de/en/portfolio/</t>
        </is>
      </c>
      <c r="H23" s="2" t="inlineStr">
        <is>
          <t>industrial tech, cleantech, software</t>
        </is>
      </c>
    </row>
    <row r="24">
      <c r="A24" s="2" t="inlineStr">
        <is>
          <t>DE</t>
        </is>
      </c>
      <c r="B24" t="inlineStr">
        <is>
          <t>EU</t>
        </is>
      </c>
      <c r="C24" s="2" t="n">
        <v>34</v>
      </c>
      <c r="D24" s="2" t="inlineStr">
        <is>
          <t>BASF Venture Capital</t>
        </is>
      </c>
      <c r="E24" s="2" t="inlineStr">
        <is>
          <t>CHEM</t>
        </is>
      </c>
      <c r="F24" s="3" t="inlineStr">
        <is>
          <t>YES</t>
        </is>
      </c>
      <c r="G24" s="2" t="inlineStr">
        <is>
          <t>https://www.basf-vc.com/portfolio</t>
        </is>
      </c>
      <c r="H24" s="2" t="inlineStr">
        <is>
          <t>chemicals CVC — direct LP-adjacent</t>
        </is>
      </c>
    </row>
    <row r="25">
      <c r="A25" s="2" t="inlineStr">
        <is>
          <t>DE</t>
        </is>
      </c>
      <c r="B25" t="inlineStr">
        <is>
          <t>EU</t>
        </is>
      </c>
      <c r="C25" s="2" t="n">
        <v>36</v>
      </c>
      <c r="D25" s="2" t="inlineStr">
        <is>
          <t>Hitachi Ventures</t>
        </is>
      </c>
      <c r="E25" s="2" t="inlineStr">
        <is>
          <t>IND+IND-AI</t>
        </is>
      </c>
      <c r="F25" s="3" t="inlineStr">
        <is>
          <t>YES</t>
        </is>
      </c>
      <c r="G25" s="2" t="inlineStr">
        <is>
          <t>https://www.hitachiventures.com/portfolio</t>
        </is>
      </c>
      <c r="H25" s="2" t="inlineStr">
        <is>
          <t>industrial CVC — direct fit</t>
        </is>
      </c>
    </row>
    <row r="26">
      <c r="A26" s="2" t="inlineStr">
        <is>
          <t>DE</t>
        </is>
      </c>
      <c r="B26" t="inlineStr">
        <is>
          <t>EU</t>
        </is>
      </c>
      <c r="C26" s="2" t="n">
        <v>37</v>
      </c>
      <c r="D26" s="2" t="inlineStr">
        <is>
          <t>Coparion</t>
        </is>
      </c>
      <c r="E26" s="2" t="inlineStr">
        <is>
          <t>DEEPTECH</t>
        </is>
      </c>
      <c r="F26" s="4" t="inlineStr">
        <is>
          <t>MAYBE</t>
        </is>
      </c>
      <c r="G26" s="2" t="inlineStr">
        <is>
          <t>https://www.coparion.vc/en/portfolio/</t>
        </is>
      </c>
      <c r="H26" s="2" t="inlineStr">
        <is>
          <t>deep tech generalist</t>
        </is>
      </c>
    </row>
    <row r="27">
      <c r="A27" s="2" t="inlineStr">
        <is>
          <t>DE</t>
        </is>
      </c>
      <c r="B27" t="inlineStr">
        <is>
          <t>EU</t>
        </is>
      </c>
      <c r="C27" s="2" t="n">
        <v>38</v>
      </c>
      <c r="D27" s="2" t="inlineStr">
        <is>
          <t>Fly Ventures</t>
        </is>
      </c>
      <c r="E27" s="2" t="inlineStr">
        <is>
          <t>DEEPTECH+B2B</t>
        </is>
      </c>
      <c r="F27" s="4" t="inlineStr">
        <is>
          <t>MAYBE</t>
        </is>
      </c>
      <c r="G27" s="2" t="inlineStr">
        <is>
          <t>https://www.fly.vc/portfolio</t>
        </is>
      </c>
      <c r="H27" s="2" t="inlineStr">
        <is>
          <t>B2B + AI; some industrial</t>
        </is>
      </c>
    </row>
    <row r="28">
      <c r="A28" s="2" t="inlineStr">
        <is>
          <t>DE</t>
        </is>
      </c>
      <c r="B28" t="inlineStr">
        <is>
          <t>EU</t>
        </is>
      </c>
      <c r="C28" s="2" t="n">
        <v>39</v>
      </c>
      <c r="D28" s="2" t="inlineStr">
        <is>
          <t>iCAP / Investmentbank Berlin (?)</t>
        </is>
      </c>
      <c r="E28" s="2" t="inlineStr">
        <is>
          <t>GENERALIST</t>
        </is>
      </c>
      <c r="F28" s="4" t="inlineStr">
        <is>
          <t>MAYBE</t>
        </is>
      </c>
      <c r="G28" s="2" t="inlineStr"/>
      <c r="H28" s="2" t="inlineStr">
        <is>
          <t>regional — user to confirm</t>
        </is>
      </c>
    </row>
    <row r="29">
      <c r="A29" s="2" t="inlineStr">
        <is>
          <t>DE</t>
        </is>
      </c>
      <c r="B29" t="inlineStr">
        <is>
          <t>EU</t>
        </is>
      </c>
      <c r="C29" s="2" t="n">
        <v>45</v>
      </c>
      <c r="D29" s="2" t="inlineStr">
        <is>
          <t>EnBW New Ventures</t>
        </is>
      </c>
      <c r="E29" s="2" t="inlineStr">
        <is>
          <t>CLIMATE+ENERGY</t>
        </is>
      </c>
      <c r="F29" s="3" t="inlineStr">
        <is>
          <t>YES</t>
        </is>
      </c>
      <c r="G29" s="2" t="inlineStr">
        <is>
          <t>https://www.enbw-newventures.com/portfolio</t>
        </is>
      </c>
      <c r="H29" s="2" t="inlineStr">
        <is>
          <t>energy CVC — direct fit</t>
        </is>
      </c>
    </row>
    <row r="30">
      <c r="A30" s="2" t="inlineStr">
        <is>
          <t>DE</t>
        </is>
      </c>
      <c r="B30" t="inlineStr">
        <is>
          <t>EU</t>
        </is>
      </c>
      <c r="C30" s="2" t="n">
        <v>45</v>
      </c>
      <c r="D30" s="2" t="inlineStr">
        <is>
          <t>Boehringer Ingelheim Venture Fund (BIVF)</t>
        </is>
      </c>
      <c r="E30" s="2" t="inlineStr">
        <is>
          <t>BIO+FOOD</t>
        </is>
      </c>
      <c r="F30" s="3" t="inlineStr">
        <is>
          <t>YES</t>
        </is>
      </c>
      <c r="G30" s="2" t="inlineStr">
        <is>
          <t>https://www.boehringer-ingelheim.com/.../venture-fund</t>
        </is>
      </c>
      <c r="H30" s="2" t="inlineStr">
        <is>
          <t>biotech / food adjacent</t>
        </is>
      </c>
    </row>
    <row r="31">
      <c r="A31" s="2" t="inlineStr">
        <is>
          <t>DE</t>
        </is>
      </c>
      <c r="B31" t="inlineStr">
        <is>
          <t>EU</t>
        </is>
      </c>
      <c r="C31" s="2" t="n">
        <v>47</v>
      </c>
      <c r="D31" s="2" t="inlineStr">
        <is>
          <t>BonVenture</t>
        </is>
      </c>
      <c r="E31" s="2" t="inlineStr">
        <is>
          <t>IMPACT</t>
        </is>
      </c>
      <c r="F31" s="4" t="inlineStr">
        <is>
          <t>MAYBE</t>
        </is>
      </c>
      <c r="G31" s="2" t="inlineStr">
        <is>
          <t>https://www.bonventure.de/en/portfolio/</t>
        </is>
      </c>
      <c r="H31" s="2" t="inlineStr">
        <is>
          <t>impact-first; some climate/social</t>
        </is>
      </c>
    </row>
    <row r="32">
      <c r="A32" s="2" t="inlineStr">
        <is>
          <t>DE</t>
        </is>
      </c>
      <c r="B32" t="inlineStr">
        <is>
          <t>EU</t>
        </is>
      </c>
      <c r="C32" s="2" t="n">
        <v>48</v>
      </c>
      <c r="D32" s="2" t="inlineStr">
        <is>
          <t>D11Z Ventures</t>
        </is>
      </c>
      <c r="E32" s="2" t="inlineStr">
        <is>
          <t>GENERALIST</t>
        </is>
      </c>
      <c r="F32" s="4" t="inlineStr">
        <is>
          <t>MAYBE</t>
        </is>
      </c>
      <c r="G32" s="2" t="inlineStr"/>
      <c r="H32" s="2" t="inlineStr">
        <is>
          <t>Stuttgart-area family office vehicle</t>
        </is>
      </c>
    </row>
    <row r="33">
      <c r="A33" s="2" t="inlineStr">
        <is>
          <t>DE</t>
        </is>
      </c>
      <c r="B33" t="inlineStr">
        <is>
          <t>EU</t>
        </is>
      </c>
      <c r="C33" s="2" t="n">
        <v>49</v>
      </c>
      <c r="D33" s="2" t="inlineStr">
        <is>
          <t>seed+speed</t>
        </is>
      </c>
      <c r="E33" s="2" t="inlineStr">
        <is>
          <t>GENERALIST</t>
        </is>
      </c>
      <c r="F33" s="4" t="inlineStr">
        <is>
          <t>MAYBE</t>
        </is>
      </c>
      <c r="G33" s="2" t="inlineStr">
        <is>
          <t>https://www.seedandspeed.com/portfolio/</t>
        </is>
      </c>
      <c r="H33" s="2" t="inlineStr">
        <is>
          <t>broad early-stage</t>
        </is>
      </c>
    </row>
    <row r="34">
      <c r="A34" s="2" t="inlineStr">
        <is>
          <t>DE</t>
        </is>
      </c>
      <c r="B34" t="inlineStr">
        <is>
          <t>EU</t>
        </is>
      </c>
      <c r="C34" s="2" t="n">
        <v>50</v>
      </c>
      <c r="D34" s="2" t="inlineStr">
        <is>
          <t>AENU</t>
        </is>
      </c>
      <c r="E34" s="2" t="inlineStr">
        <is>
          <t>CLIMATE</t>
        </is>
      </c>
      <c r="F34" s="3" t="inlineStr">
        <is>
          <t>YES</t>
        </is>
      </c>
      <c r="G34" s="2" t="inlineStr">
        <is>
          <t>https://www.aenu.com/portfolio/</t>
        </is>
      </c>
      <c r="H34" s="2" t="inlineStr">
        <is>
          <t>explicit climate fund — direct fit</t>
        </is>
      </c>
    </row>
    <row r="35">
      <c r="A35" s="2" t="inlineStr">
        <is>
          <t>UK</t>
        </is>
      </c>
      <c r="B35" t="inlineStr">
        <is>
          <t>EU</t>
        </is>
      </c>
      <c r="C35" s="2" t="n">
        <v>1</v>
      </c>
      <c r="D35" s="2" t="inlineStr">
        <is>
          <t>Index Ventures</t>
        </is>
      </c>
      <c r="E35" s="2" t="inlineStr">
        <is>
          <t>GENERALIST</t>
        </is>
      </c>
      <c r="F35" s="4" t="inlineStr">
        <is>
          <t>MAYBE</t>
        </is>
      </c>
      <c r="G35" s="2" t="inlineStr">
        <is>
          <t>https://www.indexventures.com/companies/</t>
        </is>
      </c>
      <c r="H35" s="2" t="inlineStr">
        <is>
          <t>broad; rare industrial</t>
        </is>
      </c>
    </row>
    <row r="36">
      <c r="A36" s="2" t="inlineStr">
        <is>
          <t>UK</t>
        </is>
      </c>
      <c r="B36" t="inlineStr">
        <is>
          <t>EU</t>
        </is>
      </c>
      <c r="C36" s="2" t="n">
        <v>2</v>
      </c>
      <c r="D36" s="2" t="inlineStr">
        <is>
          <t>Phoenix Court (LocalGlobe / Latitude)</t>
        </is>
      </c>
      <c r="E36" s="2" t="inlineStr">
        <is>
          <t>GENERALIST</t>
        </is>
      </c>
      <c r="F36" s="4" t="inlineStr">
        <is>
          <t>MAYBE</t>
        </is>
      </c>
      <c r="G36" s="2" t="inlineStr">
        <is>
          <t>https://phoenixcourt.com/portfolio</t>
        </is>
      </c>
      <c r="H36" s="2" t="inlineStr">
        <is>
          <t>broad seed→growth</t>
        </is>
      </c>
    </row>
    <row r="37">
      <c r="A37" s="2" t="inlineStr">
        <is>
          <t>UK</t>
        </is>
      </c>
      <c r="B37" t="inlineStr">
        <is>
          <t>EU</t>
        </is>
      </c>
      <c r="C37" s="2" t="n">
        <v>3</v>
      </c>
      <c r="D37" s="2" t="inlineStr">
        <is>
          <t>Balderton Capital</t>
        </is>
      </c>
      <c r="E37" s="2" t="inlineStr">
        <is>
          <t>GENERALIST</t>
        </is>
      </c>
      <c r="F37" s="4" t="inlineStr">
        <is>
          <t>MAYBE</t>
        </is>
      </c>
      <c r="G37" s="2" t="inlineStr">
        <is>
          <t>https://www.balderton.com/portfolio</t>
        </is>
      </c>
      <c r="H37" s="2" t="inlineStr">
        <is>
          <t>broad</t>
        </is>
      </c>
    </row>
    <row r="38">
      <c r="A38" s="2" t="inlineStr">
        <is>
          <t>UK</t>
        </is>
      </c>
      <c r="B38" t="inlineStr">
        <is>
          <t>EU</t>
        </is>
      </c>
      <c r="C38" s="2" t="n">
        <v>4</v>
      </c>
      <c r="D38" s="2" t="inlineStr">
        <is>
          <t>Octopus Ventures</t>
        </is>
      </c>
      <c r="E38" s="2" t="inlineStr">
        <is>
          <t>CLIMATE+HEALTH</t>
        </is>
      </c>
      <c r="F38" s="3" t="inlineStr">
        <is>
          <t>YES</t>
        </is>
      </c>
      <c r="G38" s="2" t="inlineStr">
        <is>
          <t>https://octopusventures.com/our-companies/</t>
        </is>
      </c>
      <c r="H38" s="2" t="inlineStr">
        <is>
          <t>explicit deeptech + climate sleeve</t>
        </is>
      </c>
    </row>
    <row r="39">
      <c r="A39" s="2" t="inlineStr">
        <is>
          <t>UK</t>
        </is>
      </c>
      <c r="B39" t="inlineStr">
        <is>
          <t>EU</t>
        </is>
      </c>
      <c r="C39" s="2" t="n">
        <v>5</v>
      </c>
      <c r="D39" s="2" t="inlineStr">
        <is>
          <t>Seedcamp</t>
        </is>
      </c>
      <c r="E39" s="2" t="inlineStr">
        <is>
          <t>GENERALIST</t>
        </is>
      </c>
      <c r="F39" s="4" t="inlineStr">
        <is>
          <t>MAYBE</t>
        </is>
      </c>
      <c r="G39" s="2" t="inlineStr">
        <is>
          <t>https://seedcamp.com/portfolio/</t>
        </is>
      </c>
      <c r="H39" s="2" t="inlineStr">
        <is>
          <t>broad pre-seed/seed</t>
        </is>
      </c>
    </row>
    <row r="40">
      <c r="A40" s="2" t="inlineStr">
        <is>
          <t>UK</t>
        </is>
      </c>
      <c r="B40" t="inlineStr">
        <is>
          <t>EU</t>
        </is>
      </c>
      <c r="C40" s="2" t="n">
        <v>6</v>
      </c>
      <c r="D40" s="2" t="inlineStr">
        <is>
          <t>Atomico</t>
        </is>
      </c>
      <c r="E40" s="2" t="inlineStr">
        <is>
          <t>GENERALIST+CLIMATE</t>
        </is>
      </c>
      <c r="F40" s="4" t="inlineStr">
        <is>
          <t>MAYBE</t>
        </is>
      </c>
      <c r="G40" s="2" t="inlineStr">
        <is>
          <t>https://atomico.com/companies</t>
        </is>
      </c>
      <c r="H40" s="2" t="inlineStr">
        <is>
          <t>broad; growing climate exposure</t>
        </is>
      </c>
    </row>
    <row r="41">
      <c r="A41" s="2" t="inlineStr">
        <is>
          <t>UK</t>
        </is>
      </c>
      <c r="B41" t="inlineStr">
        <is>
          <t>EU</t>
        </is>
      </c>
      <c r="C41" s="2" t="n">
        <v>10</v>
      </c>
      <c r="D41" s="2" t="inlineStr">
        <is>
          <t>MMC Ventures</t>
        </is>
      </c>
      <c r="E41" s="2" t="inlineStr">
        <is>
          <t>DEEPTECH+IND-AI</t>
        </is>
      </c>
      <c r="F41" s="3" t="inlineStr">
        <is>
          <t>YES</t>
        </is>
      </c>
      <c r="G41" s="2" t="inlineStr">
        <is>
          <t>https://mmc.vc/portfolio/</t>
        </is>
      </c>
      <c r="H41" s="2" t="inlineStr">
        <is>
          <t>AI-first incl. industrial AI</t>
        </is>
      </c>
    </row>
    <row r="42">
      <c r="A42" s="2" t="inlineStr">
        <is>
          <t>UK</t>
        </is>
      </c>
      <c r="B42" t="inlineStr">
        <is>
          <t>EU</t>
        </is>
      </c>
      <c r="C42" s="2" t="n">
        <v>12</v>
      </c>
      <c r="D42" s="2" t="inlineStr">
        <is>
          <t>Northzone</t>
        </is>
      </c>
      <c r="E42" s="2" t="inlineStr">
        <is>
          <t>GENERALIST</t>
        </is>
      </c>
      <c r="F42" s="4" t="inlineStr">
        <is>
          <t>MAYBE</t>
        </is>
      </c>
      <c r="G42" s="2" t="inlineStr">
        <is>
          <t>https://northzone.com/portfolio/</t>
        </is>
      </c>
      <c r="H42" s="2" t="inlineStr">
        <is>
          <t>broad</t>
        </is>
      </c>
    </row>
    <row r="43">
      <c r="A43" s="2" t="inlineStr">
        <is>
          <t>UK</t>
        </is>
      </c>
      <c r="B43" t="inlineStr">
        <is>
          <t>EU</t>
        </is>
      </c>
      <c r="C43" s="2" t="n">
        <v>13</v>
      </c>
      <c r="D43" s="2" t="inlineStr">
        <is>
          <t>Concept Ventures</t>
        </is>
      </c>
      <c r="E43" s="2" t="inlineStr">
        <is>
          <t>GENERALIST</t>
        </is>
      </c>
      <c r="F43" s="4" t="inlineStr">
        <is>
          <t>MAYBE</t>
        </is>
      </c>
      <c r="G43" s="2" t="inlineStr">
        <is>
          <t>https://conceptventures.vc/companies</t>
        </is>
      </c>
      <c r="H43" s="2" t="inlineStr">
        <is>
          <t>pre-seed broad</t>
        </is>
      </c>
    </row>
    <row r="44">
      <c r="A44" s="2" t="inlineStr">
        <is>
          <t>UK</t>
        </is>
      </c>
      <c r="B44" t="inlineStr">
        <is>
          <t>EU</t>
        </is>
      </c>
      <c r="C44" s="2" t="n">
        <v>14</v>
      </c>
      <c r="D44" s="2" t="inlineStr">
        <is>
          <t>Molten Ventures</t>
        </is>
      </c>
      <c r="E44" s="2" t="inlineStr">
        <is>
          <t>DEEPTECH</t>
        </is>
      </c>
      <c r="F44" s="4" t="inlineStr">
        <is>
          <t>MAYBE</t>
        </is>
      </c>
      <c r="G44" s="2" t="inlineStr">
        <is>
          <t>https://www.moltenventures.com/portfolio/</t>
        </is>
      </c>
      <c r="H44" s="2" t="inlineStr">
        <is>
          <t>deeptech — some industrial</t>
        </is>
      </c>
    </row>
    <row r="45">
      <c r="A45" s="2" t="inlineStr">
        <is>
          <t>UK</t>
        </is>
      </c>
      <c r="B45" t="inlineStr">
        <is>
          <t>EU</t>
        </is>
      </c>
      <c r="C45" s="2" t="n">
        <v>15</v>
      </c>
      <c r="D45" s="2" t="inlineStr">
        <is>
          <t>Entrée Capital</t>
        </is>
      </c>
      <c r="E45" s="2" t="inlineStr">
        <is>
          <t>GENERALIST</t>
        </is>
      </c>
      <c r="F45" s="4" t="inlineStr">
        <is>
          <t>MAYBE</t>
        </is>
      </c>
      <c r="G45" s="2" t="inlineStr">
        <is>
          <t>https://entreecap.com/portfolio/</t>
        </is>
      </c>
      <c r="H45" s="2" t="inlineStr">
        <is>
          <t>broad</t>
        </is>
      </c>
    </row>
    <row r="46">
      <c r="A46" s="2" t="inlineStr">
        <is>
          <t>UK</t>
        </is>
      </c>
      <c r="B46" t="inlineStr">
        <is>
          <t>EU</t>
        </is>
      </c>
      <c r="C46" s="2" t="n">
        <v>21</v>
      </c>
      <c r="D46" s="2" t="inlineStr">
        <is>
          <t>Amadeus Capital Partners</t>
        </is>
      </c>
      <c r="E46" s="2" t="inlineStr">
        <is>
          <t>DEEPTECH+IND</t>
        </is>
      </c>
      <c r="F46" s="3" t="inlineStr">
        <is>
          <t>YES</t>
        </is>
      </c>
      <c r="G46" s="2" t="inlineStr">
        <is>
          <t>https://www.amadeuscapital.com/portfolio/</t>
        </is>
      </c>
      <c r="H46" s="2" t="inlineStr">
        <is>
          <t>deeptech, industrial, semiconductors</t>
        </is>
      </c>
    </row>
    <row r="47">
      <c r="A47" s="2" t="inlineStr">
        <is>
          <t>UK</t>
        </is>
      </c>
      <c r="B47" t="inlineStr">
        <is>
          <t>EU</t>
        </is>
      </c>
      <c r="C47" s="2" t="n">
        <v>24</v>
      </c>
      <c r="D47" s="2" t="inlineStr">
        <is>
          <t>Hoxton Ventures (Haatch?)</t>
        </is>
      </c>
      <c r="E47" s="2" t="inlineStr">
        <is>
          <t>GENERALIST</t>
        </is>
      </c>
      <c r="F47" s="4" t="inlineStr">
        <is>
          <t>MAYBE</t>
        </is>
      </c>
      <c r="G47" s="2" t="inlineStr">
        <is>
          <t>https://www.hoxton.ventures/portfolio</t>
        </is>
      </c>
      <c r="H47" s="2" t="inlineStr">
        <is>
          <t>broad</t>
        </is>
      </c>
    </row>
    <row r="48">
      <c r="A48" s="2" t="inlineStr">
        <is>
          <t>UK</t>
        </is>
      </c>
      <c r="B48" t="inlineStr">
        <is>
          <t>EU</t>
        </is>
      </c>
      <c r="C48" s="2" t="n">
        <v>25</v>
      </c>
      <c r="D48" s="2" t="inlineStr">
        <is>
          <t>Beringea</t>
        </is>
      </c>
      <c r="E48" s="2" t="inlineStr">
        <is>
          <t>GENERALIST</t>
        </is>
      </c>
      <c r="F48" s="4" t="inlineStr">
        <is>
          <t>MAYBE</t>
        </is>
      </c>
      <c r="G48" s="2" t="inlineStr">
        <is>
          <t>https://www.beringea.com/portfolio/</t>
        </is>
      </c>
      <c r="H48" s="2" t="inlineStr">
        <is>
          <t>broad VCT-style</t>
        </is>
      </c>
    </row>
    <row r="49">
      <c r="A49" s="2" t="inlineStr">
        <is>
          <t>UK</t>
        </is>
      </c>
      <c r="B49" t="inlineStr">
        <is>
          <t>EU</t>
        </is>
      </c>
      <c r="C49" s="2" t="n">
        <v>26</v>
      </c>
      <c r="D49" s="2" t="inlineStr">
        <is>
          <t>AlbionVC (?)</t>
        </is>
      </c>
      <c r="E49" s="2" t="inlineStr">
        <is>
          <t>DEEPTECH</t>
        </is>
      </c>
      <c r="F49" s="4" t="inlineStr">
        <is>
          <t>MAYBE</t>
        </is>
      </c>
      <c r="G49" s="2" t="inlineStr">
        <is>
          <t>https://www.albion.vc/portfolio/</t>
        </is>
      </c>
      <c r="H49" s="2" t="inlineStr">
        <is>
          <t>B2B + some deep tech</t>
        </is>
      </c>
    </row>
    <row r="50">
      <c r="A50" s="2" t="inlineStr">
        <is>
          <t>UK</t>
        </is>
      </c>
      <c r="B50" t="inlineStr">
        <is>
          <t>EU</t>
        </is>
      </c>
      <c r="C50" s="2" t="n">
        <v>27</v>
      </c>
      <c r="D50" s="2" t="inlineStr">
        <is>
          <t>White Star Capital</t>
        </is>
      </c>
      <c r="E50" s="2" t="inlineStr">
        <is>
          <t>GENERALIST</t>
        </is>
      </c>
      <c r="F50" s="4" t="inlineStr">
        <is>
          <t>MAYBE</t>
        </is>
      </c>
      <c r="G50" s="2" t="inlineStr">
        <is>
          <t>https://whitestarcapital.com/portfolio/</t>
        </is>
      </c>
      <c r="H50" s="2" t="inlineStr">
        <is>
          <t>broad</t>
        </is>
      </c>
    </row>
    <row r="51">
      <c r="A51" s="2" t="inlineStr">
        <is>
          <t>UK</t>
        </is>
      </c>
      <c r="B51" t="inlineStr">
        <is>
          <t>EU</t>
        </is>
      </c>
      <c r="C51" s="2" t="n">
        <v>29</v>
      </c>
      <c r="D51" s="2" t="inlineStr">
        <is>
          <t>83North</t>
        </is>
      </c>
      <c r="E51" s="2" t="inlineStr">
        <is>
          <t>GENERALIST</t>
        </is>
      </c>
      <c r="F51" s="4" t="inlineStr">
        <is>
          <t>MAYBE</t>
        </is>
      </c>
      <c r="G51" s="2" t="inlineStr">
        <is>
          <t>https://www.83north.com/portfolio</t>
        </is>
      </c>
      <c r="H51" s="2" t="inlineStr">
        <is>
          <t>broad B2B</t>
        </is>
      </c>
    </row>
    <row r="52">
      <c r="A52" s="2" t="inlineStr">
        <is>
          <t>UK</t>
        </is>
      </c>
      <c r="B52" t="inlineStr">
        <is>
          <t>EU</t>
        </is>
      </c>
      <c r="C52" s="2" t="n">
        <v>36</v>
      </c>
      <c r="D52" s="2" t="inlineStr">
        <is>
          <t>IQ Capital</t>
        </is>
      </c>
      <c r="E52" s="2" t="inlineStr">
        <is>
          <t>DEEPTECH+IND-AI</t>
        </is>
      </c>
      <c r="F52" s="3" t="inlineStr">
        <is>
          <t>YES</t>
        </is>
      </c>
      <c r="G52" s="2" t="inlineStr">
        <is>
          <t>https://www.iqcapital.vc/portfolio/</t>
        </is>
      </c>
      <c r="H52" s="2" t="inlineStr">
        <is>
          <t>deep tech + AI for industry</t>
        </is>
      </c>
    </row>
    <row r="53">
      <c r="A53" s="2" t="inlineStr">
        <is>
          <t>UK</t>
        </is>
      </c>
      <c r="B53" t="inlineStr">
        <is>
          <t>EU</t>
        </is>
      </c>
      <c r="C53" s="2" t="n">
        <v>39</v>
      </c>
      <c r="D53" s="2" t="inlineStr">
        <is>
          <t>Moonfire Ventures</t>
        </is>
      </c>
      <c r="E53" s="2" t="inlineStr">
        <is>
          <t>GENERALIST</t>
        </is>
      </c>
      <c r="F53" s="4" t="inlineStr">
        <is>
          <t>MAYBE</t>
        </is>
      </c>
      <c r="G53" s="2" t="inlineStr">
        <is>
          <t>https://www.moonfire.com/portfolio</t>
        </is>
      </c>
      <c r="H53" s="2" t="inlineStr">
        <is>
          <t>broad seed</t>
        </is>
      </c>
    </row>
    <row r="54">
      <c r="A54" s="2" t="inlineStr">
        <is>
          <t>UK</t>
        </is>
      </c>
      <c r="B54" t="inlineStr">
        <is>
          <t>EU</t>
        </is>
      </c>
      <c r="C54" s="2" t="n">
        <v>40</v>
      </c>
      <c r="D54" s="2" t="inlineStr">
        <is>
          <t>AlbionVC</t>
        </is>
      </c>
      <c r="E54" s="2" t="inlineStr">
        <is>
          <t>DEEPTECH</t>
        </is>
      </c>
      <c r="F54" s="4" t="inlineStr">
        <is>
          <t>MAYBE</t>
        </is>
      </c>
      <c r="G54" s="2" t="inlineStr">
        <is>
          <t>https://www.albion.vc/portfolio/</t>
        </is>
      </c>
      <c r="H54" s="2" t="inlineStr">
        <is>
          <t>B2B + some deep tech (if not at #26)</t>
        </is>
      </c>
    </row>
    <row r="55">
      <c r="A55" s="2" t="inlineStr">
        <is>
          <t>UK</t>
        </is>
      </c>
      <c r="B55" t="inlineStr">
        <is>
          <t>EU</t>
        </is>
      </c>
      <c r="C55" s="2" t="n">
        <v>41</v>
      </c>
      <c r="D55" s="2" t="inlineStr">
        <is>
          <t>Hoxton Ventures</t>
        </is>
      </c>
      <c r="E55" s="2" t="inlineStr">
        <is>
          <t>GENERALIST</t>
        </is>
      </c>
      <c r="F55" s="4" t="inlineStr">
        <is>
          <t>MAYBE</t>
        </is>
      </c>
      <c r="G55" s="2" t="inlineStr">
        <is>
          <t>https://www.hoxton.ventures/portfolio</t>
        </is>
      </c>
      <c r="H55" s="2" t="inlineStr"/>
    </row>
    <row r="56">
      <c r="A56" s="2" t="inlineStr">
        <is>
          <t>UK</t>
        </is>
      </c>
      <c r="B56" t="inlineStr">
        <is>
          <t>EU</t>
        </is>
      </c>
      <c r="C56" s="2" t="n">
        <v>43</v>
      </c>
      <c r="D56" s="2" t="inlineStr">
        <is>
          <t>Lightrock</t>
        </is>
      </c>
      <c r="E56" s="2" t="inlineStr">
        <is>
          <t>CLIMATE+IMPACT</t>
        </is>
      </c>
      <c r="F56" s="3" t="inlineStr">
        <is>
          <t>YES</t>
        </is>
      </c>
      <c r="G56" s="2" t="inlineStr">
        <is>
          <t>https://lightrock.com/portfolio/</t>
        </is>
      </c>
      <c r="H56" s="2" t="inlineStr">
        <is>
          <t>explicit climate + impact — direct fit</t>
        </is>
      </c>
    </row>
    <row r="57">
      <c r="A57" s="2" t="inlineStr">
        <is>
          <t>UK</t>
        </is>
      </c>
      <c r="B57" t="inlineStr">
        <is>
          <t>EU</t>
        </is>
      </c>
      <c r="C57" s="2" t="n">
        <v>45</v>
      </c>
      <c r="D57" s="2" t="inlineStr">
        <is>
          <t>Medicxi</t>
        </is>
      </c>
      <c r="E57" s="2" t="inlineStr">
        <is>
          <t>BIO</t>
        </is>
      </c>
      <c r="F57" s="4" t="inlineStr">
        <is>
          <t>MAYBE</t>
        </is>
      </c>
      <c r="G57" s="2" t="inlineStr">
        <is>
          <t>https://www.medicxi.com/portfolio/</t>
        </is>
      </c>
      <c r="H57" s="2" t="inlineStr">
        <is>
          <t>biotech only</t>
        </is>
      </c>
    </row>
    <row r="58">
      <c r="A58" s="2" t="inlineStr">
        <is>
          <t>UK</t>
        </is>
      </c>
      <c r="B58" t="inlineStr">
        <is>
          <t>EU</t>
        </is>
      </c>
      <c r="C58" s="2" t="n">
        <v>46</v>
      </c>
      <c r="D58" s="2" t="inlineStr">
        <is>
          <t>Playfair Capital</t>
        </is>
      </c>
      <c r="E58" s="2" t="inlineStr">
        <is>
          <t>GENERALIST</t>
        </is>
      </c>
      <c r="F58" s="4" t="inlineStr">
        <is>
          <t>MAYBE</t>
        </is>
      </c>
      <c r="G58" s="2" t="inlineStr">
        <is>
          <t>https://www.playfair.vc/portfolio</t>
        </is>
      </c>
      <c r="H58" s="2" t="inlineStr">
        <is>
          <t>broad seed</t>
        </is>
      </c>
    </row>
    <row r="59">
      <c r="A59" s="2" t="inlineStr">
        <is>
          <t>UK</t>
        </is>
      </c>
      <c r="B59" t="inlineStr">
        <is>
          <t>EU</t>
        </is>
      </c>
      <c r="C59" s="2" t="n">
        <v>49</v>
      </c>
      <c r="D59" s="2" t="inlineStr">
        <is>
          <t>Mercia / Mercia Asset Management</t>
        </is>
      </c>
      <c r="E59" s="2" t="inlineStr">
        <is>
          <t>GENERALIST</t>
        </is>
      </c>
      <c r="F59" s="4" t="inlineStr">
        <is>
          <t>MAYBE</t>
        </is>
      </c>
      <c r="G59" s="2" t="inlineStr">
        <is>
          <t>https://www.mercia.co.uk/portfolio/</t>
        </is>
      </c>
      <c r="H59" s="2" t="inlineStr">
        <is>
          <t>broad UK regional</t>
        </is>
      </c>
    </row>
    <row r="60">
      <c r="A60" s="2" t="inlineStr">
        <is>
          <t>FR</t>
        </is>
      </c>
      <c r="B60" t="inlineStr">
        <is>
          <t>EU</t>
        </is>
      </c>
      <c r="C60" s="2" t="n">
        <v>1</v>
      </c>
      <c r="D60" s="2" t="inlineStr">
        <is>
          <t>Partech</t>
        </is>
      </c>
      <c r="E60" s="2" t="inlineStr">
        <is>
          <t>GENERALIST</t>
        </is>
      </c>
      <c r="F60" s="4" t="inlineStr">
        <is>
          <t>MAYBE</t>
        </is>
      </c>
      <c r="G60" s="2" t="inlineStr">
        <is>
          <t>https://partechpartners.com/companies/</t>
        </is>
      </c>
      <c r="H60" s="2" t="inlineStr">
        <is>
          <t>broad</t>
        </is>
      </c>
    </row>
    <row r="61">
      <c r="A61" s="2" t="inlineStr">
        <is>
          <t>FR</t>
        </is>
      </c>
      <c r="B61" t="inlineStr">
        <is>
          <t>EU</t>
        </is>
      </c>
      <c r="C61" s="2" t="n">
        <v>2</v>
      </c>
      <c r="D61" s="2" t="inlineStr">
        <is>
          <t>Isai</t>
        </is>
      </c>
      <c r="E61" s="2" t="inlineStr">
        <is>
          <t>GENERALIST</t>
        </is>
      </c>
      <c r="F61" s="4" t="inlineStr">
        <is>
          <t>MAYBE</t>
        </is>
      </c>
      <c r="G61" s="2" t="inlineStr">
        <is>
          <t>https://www.isai.fr/portfolio/</t>
        </is>
      </c>
      <c r="H61" s="2" t="inlineStr">
        <is>
          <t>broad</t>
        </is>
      </c>
    </row>
    <row r="62">
      <c r="A62" s="2" t="inlineStr">
        <is>
          <t>FR</t>
        </is>
      </c>
      <c r="B62" t="inlineStr">
        <is>
          <t>EU</t>
        </is>
      </c>
      <c r="C62" s="2" t="n">
        <v>3</v>
      </c>
      <c r="D62" s="2" t="inlineStr">
        <is>
          <t>Frst (fst)</t>
        </is>
      </c>
      <c r="E62" s="2" t="inlineStr">
        <is>
          <t>GENERALIST</t>
        </is>
      </c>
      <c r="F62" s="4" t="inlineStr">
        <is>
          <t>MAYBE</t>
        </is>
      </c>
      <c r="G62" s="2" t="inlineStr">
        <is>
          <t>https://frst.com/portfolio</t>
        </is>
      </c>
      <c r="H62" s="2" t="inlineStr">
        <is>
          <t>seed</t>
        </is>
      </c>
    </row>
    <row r="63">
      <c r="A63" s="2" t="inlineStr">
        <is>
          <t>FR</t>
        </is>
      </c>
      <c r="B63" t="inlineStr">
        <is>
          <t>EU</t>
        </is>
      </c>
      <c r="C63" s="2" t="n">
        <v>4</v>
      </c>
      <c r="D63" s="2" t="inlineStr">
        <is>
          <t>Sofinnova Partners</t>
        </is>
      </c>
      <c r="E63" s="2" t="inlineStr">
        <is>
          <t>DEEPTECH+BIO+CHEM</t>
        </is>
      </c>
      <c r="F63" s="3" t="inlineStr">
        <is>
          <t>YES</t>
        </is>
      </c>
      <c r="G63" s="2" t="inlineStr">
        <is>
          <t>https://www.sofinnovapartners.com/portfolio</t>
        </is>
      </c>
      <c r="H63" s="2" t="inlineStr">
        <is>
          <t>deeptech + industrial bio + chem — direct fit</t>
        </is>
      </c>
    </row>
    <row r="64">
      <c r="A64" s="2" t="inlineStr">
        <is>
          <t>FR</t>
        </is>
      </c>
      <c r="B64" t="inlineStr">
        <is>
          <t>EU</t>
        </is>
      </c>
      <c r="C64" s="2" t="n">
        <v>5</v>
      </c>
      <c r="D64" s="2" t="inlineStr">
        <is>
          <t>Elaia</t>
        </is>
      </c>
      <c r="E64" s="2" t="inlineStr">
        <is>
          <t>DEEPTECH</t>
        </is>
      </c>
      <c r="F64" s="4" t="inlineStr">
        <is>
          <t>MAYBE</t>
        </is>
      </c>
      <c r="G64" s="2" t="inlineStr">
        <is>
          <t>https://www.elaia.com/portfolio</t>
        </is>
      </c>
      <c r="H64" s="2" t="inlineStr">
        <is>
          <t>deeptech — broad</t>
        </is>
      </c>
    </row>
    <row r="65">
      <c r="A65" s="2" t="inlineStr">
        <is>
          <t>FR</t>
        </is>
      </c>
      <c r="B65" t="inlineStr">
        <is>
          <t>EU</t>
        </is>
      </c>
      <c r="C65" s="2" t="n">
        <v>7</v>
      </c>
      <c r="D65" s="2" t="inlineStr">
        <is>
          <t>Seventure Partners</t>
        </is>
      </c>
      <c r="E65" s="2" t="inlineStr">
        <is>
          <t>FOOD+BIO+CHEM</t>
        </is>
      </c>
      <c r="F65" s="3" t="inlineStr">
        <is>
          <t>YES</t>
        </is>
      </c>
      <c r="G65" s="2" t="inlineStr">
        <is>
          <t>https://www.seventure.fr/portfolio/</t>
        </is>
      </c>
      <c r="H65" s="2" t="inlineStr">
        <is>
          <t>food + microbiome + bio — direct fit</t>
        </is>
      </c>
    </row>
    <row r="66">
      <c r="A66" s="2" t="inlineStr">
        <is>
          <t>FR</t>
        </is>
      </c>
      <c r="B66" t="inlineStr">
        <is>
          <t>EU</t>
        </is>
      </c>
      <c r="C66" s="2" t="n">
        <v>8</v>
      </c>
      <c r="D66" s="2" t="inlineStr">
        <is>
          <t>Go Capital</t>
        </is>
      </c>
      <c r="E66" s="2" t="inlineStr">
        <is>
          <t>DEEPTECH</t>
        </is>
      </c>
      <c r="F66" s="4" t="inlineStr">
        <is>
          <t>MAYBE</t>
        </is>
      </c>
      <c r="G66" s="2" t="inlineStr">
        <is>
          <t>https://www.gocapital.fr/portfolio/</t>
        </is>
      </c>
      <c r="H66" s="2" t="inlineStr">
        <is>
          <t>deeptech regional</t>
        </is>
      </c>
    </row>
    <row r="67">
      <c r="A67" s="2" t="inlineStr">
        <is>
          <t>FR</t>
        </is>
      </c>
      <c r="B67" t="inlineStr">
        <is>
          <t>EU</t>
        </is>
      </c>
      <c r="C67" s="2" t="n">
        <v>9</v>
      </c>
      <c r="D67" s="2" t="inlineStr">
        <is>
          <t>360 Capital</t>
        </is>
      </c>
      <c r="E67" s="2" t="inlineStr">
        <is>
          <t>GENERALIST</t>
        </is>
      </c>
      <c r="F67" s="4" t="inlineStr">
        <is>
          <t>MAYBE</t>
        </is>
      </c>
      <c r="G67" s="2" t="inlineStr">
        <is>
          <t>https://www.360capital.com/portfolio</t>
        </is>
      </c>
      <c r="H67" s="2" t="inlineStr">
        <is>
          <t>broad</t>
        </is>
      </c>
    </row>
    <row r="68">
      <c r="A68" s="2" t="inlineStr">
        <is>
          <t>FR</t>
        </is>
      </c>
      <c r="B68" t="inlineStr">
        <is>
          <t>EU</t>
        </is>
      </c>
      <c r="C68" s="2" t="n">
        <v>10</v>
      </c>
      <c r="D68" s="2" t="inlineStr">
        <is>
          <t>Supernova Invest</t>
        </is>
      </c>
      <c r="E68" s="2" t="inlineStr">
        <is>
          <t>DEEPTECH+IND</t>
        </is>
      </c>
      <c r="F68" s="3" t="inlineStr">
        <is>
          <t>YES</t>
        </is>
      </c>
      <c r="G68" s="2" t="inlineStr">
        <is>
          <t>https://www.supernovainvest.com/portfolio/</t>
        </is>
      </c>
      <c r="H68" s="2" t="inlineStr">
        <is>
          <t>deep tech + industrial — strong fit</t>
        </is>
      </c>
    </row>
    <row r="69">
      <c r="A69" s="2" t="inlineStr">
        <is>
          <t>FR</t>
        </is>
      </c>
      <c r="B69" t="inlineStr">
        <is>
          <t>EU</t>
        </is>
      </c>
      <c r="C69" s="2" t="n">
        <v>12</v>
      </c>
      <c r="D69" s="2" t="inlineStr">
        <is>
          <t>Breega</t>
        </is>
      </c>
      <c r="E69" s="2" t="inlineStr">
        <is>
          <t>GENERALIST</t>
        </is>
      </c>
      <c r="F69" s="4" t="inlineStr">
        <is>
          <t>MAYBE</t>
        </is>
      </c>
      <c r="G69" s="2" t="inlineStr">
        <is>
          <t>https://www.breega.com/portfolio</t>
        </is>
      </c>
      <c r="H69" s="2" t="inlineStr">
        <is>
          <t>broad</t>
        </is>
      </c>
    </row>
    <row r="70">
      <c r="A70" s="2" t="inlineStr">
        <is>
          <t>FR</t>
        </is>
      </c>
      <c r="B70" t="inlineStr">
        <is>
          <t>EU</t>
        </is>
      </c>
      <c r="C70" s="2" t="n">
        <v>15</v>
      </c>
      <c r="D70" s="2" t="inlineStr">
        <is>
          <t>AVP (Axa Venture Partners)</t>
        </is>
      </c>
      <c r="E70" s="2" t="inlineStr">
        <is>
          <t>GENERALIST+FINTECH</t>
        </is>
      </c>
      <c r="F70" s="4" t="inlineStr">
        <is>
          <t>MAYBE</t>
        </is>
      </c>
      <c r="G70" s="2" t="inlineStr">
        <is>
          <t>https://www.axavp.com/portfolio/</t>
        </is>
      </c>
      <c r="H70" s="2" t="inlineStr">
        <is>
          <t>fintech + broad</t>
        </is>
      </c>
    </row>
    <row r="71">
      <c r="A71" s="2" t="inlineStr">
        <is>
          <t>FR</t>
        </is>
      </c>
      <c r="B71" t="inlineStr">
        <is>
          <t>EU</t>
        </is>
      </c>
      <c r="C71" s="2" t="n">
        <v>16</v>
      </c>
      <c r="D71" s="2" t="inlineStr">
        <is>
          <t>Daphni</t>
        </is>
      </c>
      <c r="E71" s="2" t="inlineStr">
        <is>
          <t>GENERALIST</t>
        </is>
      </c>
      <c r="F71" s="4" t="inlineStr">
        <is>
          <t>MAYBE</t>
        </is>
      </c>
      <c r="G71" s="2" t="inlineStr">
        <is>
          <t>https://www.daphni.com/portfolio</t>
        </is>
      </c>
      <c r="H71" s="2" t="inlineStr">
        <is>
          <t>broad</t>
        </is>
      </c>
    </row>
    <row r="72">
      <c r="A72" s="2" t="inlineStr">
        <is>
          <t>FR</t>
        </is>
      </c>
      <c r="B72" t="inlineStr">
        <is>
          <t>EU</t>
        </is>
      </c>
      <c r="C72" s="2" t="n">
        <v>17</v>
      </c>
      <c r="D72" s="2" t="inlineStr">
        <is>
          <t>Ventech</t>
        </is>
      </c>
      <c r="E72" s="2" t="inlineStr">
        <is>
          <t>GENERALIST</t>
        </is>
      </c>
      <c r="F72" s="4" t="inlineStr">
        <is>
          <t>MAYBE</t>
        </is>
      </c>
      <c r="G72" s="2" t="inlineStr">
        <is>
          <t>https://www.ventechvc.com/portfolio</t>
        </is>
      </c>
      <c r="H72" s="2" t="inlineStr">
        <is>
          <t>broad</t>
        </is>
      </c>
    </row>
    <row r="73">
      <c r="A73" s="2" t="inlineStr">
        <is>
          <t>FR</t>
        </is>
      </c>
      <c r="B73" t="inlineStr">
        <is>
          <t>EU</t>
        </is>
      </c>
      <c r="C73" s="2" t="n">
        <v>21</v>
      </c>
      <c r="D73" s="2" t="inlineStr">
        <is>
          <t>Xange</t>
        </is>
      </c>
      <c r="E73" s="2" t="inlineStr">
        <is>
          <t>GENERALIST</t>
        </is>
      </c>
      <c r="F73" s="4" t="inlineStr">
        <is>
          <t>MAYBE</t>
        </is>
      </c>
      <c r="G73" s="2" t="inlineStr">
        <is>
          <t>https://www.xange.vc/portfolio</t>
        </is>
      </c>
      <c r="H73" s="2" t="inlineStr">
        <is>
          <t>broad</t>
        </is>
      </c>
    </row>
    <row r="74">
      <c r="A74" s="2" t="inlineStr">
        <is>
          <t>FR</t>
        </is>
      </c>
      <c r="B74" t="inlineStr">
        <is>
          <t>EU</t>
        </is>
      </c>
      <c r="C74" s="2" t="n">
        <v>22</v>
      </c>
      <c r="D74" s="2" t="inlineStr">
        <is>
          <t>IRIS Capital</t>
        </is>
      </c>
      <c r="E74" s="2" t="inlineStr">
        <is>
          <t>GENERALIST+IND</t>
        </is>
      </c>
      <c r="F74" s="4" t="inlineStr">
        <is>
          <t>MAYBE</t>
        </is>
      </c>
      <c r="G74" s="2" t="inlineStr">
        <is>
          <t>https://www.iriscapital.com/portfolio</t>
        </is>
      </c>
      <c r="H74" s="2" t="inlineStr">
        <is>
          <t>broad incl. some industrial</t>
        </is>
      </c>
    </row>
    <row r="75">
      <c r="A75" s="2" t="inlineStr">
        <is>
          <t>FR</t>
        </is>
      </c>
      <c r="B75" t="inlineStr">
        <is>
          <t>EU</t>
        </is>
      </c>
      <c r="C75" s="2" t="n">
        <v>24</v>
      </c>
      <c r="D75" s="2" t="inlineStr">
        <is>
          <t>Ring Capital</t>
        </is>
      </c>
      <c r="E75" s="2" t="inlineStr">
        <is>
          <t>GENERALIST</t>
        </is>
      </c>
      <c r="F75" s="4" t="inlineStr">
        <is>
          <t>MAYBE</t>
        </is>
      </c>
      <c r="G75" s="2" t="inlineStr">
        <is>
          <t>https://www.ringcm.com/portfolio</t>
        </is>
      </c>
      <c r="H75" s="2" t="inlineStr">
        <is>
          <t>broad</t>
        </is>
      </c>
    </row>
    <row r="76">
      <c r="A76" s="2" t="inlineStr">
        <is>
          <t>FR</t>
        </is>
      </c>
      <c r="B76" t="inlineStr">
        <is>
          <t>EU</t>
        </is>
      </c>
      <c r="C76" s="2" t="n">
        <v>26</v>
      </c>
      <c r="D76" s="2" t="inlineStr">
        <is>
          <t>Axeleo Capital</t>
        </is>
      </c>
      <c r="E76" s="2" t="inlineStr">
        <is>
          <t>GENERALIST+IND-AI</t>
        </is>
      </c>
      <c r="F76" s="4" t="inlineStr">
        <is>
          <t>MAYBE</t>
        </is>
      </c>
      <c r="G76" s="2" t="inlineStr">
        <is>
          <t>https://www.axeleocapital.com/portfolio</t>
        </is>
      </c>
      <c r="H76" s="2" t="inlineStr">
        <is>
          <t>broad — some industrial AI</t>
        </is>
      </c>
    </row>
    <row r="77">
      <c r="A77" s="2" t="inlineStr">
        <is>
          <t>FR</t>
        </is>
      </c>
      <c r="B77" t="inlineStr">
        <is>
          <t>EU</t>
        </is>
      </c>
      <c r="C77" s="2" t="n">
        <v>27</v>
      </c>
      <c r="D77" s="2" t="inlineStr">
        <is>
          <t>Karista</t>
        </is>
      </c>
      <c r="E77" s="2" t="inlineStr">
        <is>
          <t>DEEPTECH+BIO</t>
        </is>
      </c>
      <c r="F77" s="4" t="inlineStr">
        <is>
          <t>MAYBE</t>
        </is>
      </c>
      <c r="G77" s="2" t="inlineStr">
        <is>
          <t>https://www.karista.vc/portfolio/</t>
        </is>
      </c>
      <c r="H77" s="2" t="inlineStr">
        <is>
          <t>deeptech + biotech</t>
        </is>
      </c>
    </row>
    <row r="78">
      <c r="A78" s="2" t="inlineStr">
        <is>
          <t>FR</t>
        </is>
      </c>
      <c r="B78" t="inlineStr">
        <is>
          <t>EU</t>
        </is>
      </c>
      <c r="C78" s="2" t="n">
        <v>30</v>
      </c>
      <c r="D78" s="2" t="inlineStr">
        <is>
          <t>Innovacom</t>
        </is>
      </c>
      <c r="E78" s="2" t="inlineStr">
        <is>
          <t>DEEPTECH+IND</t>
        </is>
      </c>
      <c r="F78" s="4" t="inlineStr">
        <is>
          <t>MAYBE</t>
        </is>
      </c>
      <c r="G78" s="2" t="inlineStr">
        <is>
          <t>https://www.innovacom.com/portfolio/</t>
        </is>
      </c>
      <c r="H78" s="2" t="inlineStr">
        <is>
          <t>deeptech industrial</t>
        </is>
      </c>
    </row>
    <row r="79">
      <c r="A79" s="2" t="inlineStr">
        <is>
          <t>FR</t>
        </is>
      </c>
      <c r="B79" t="inlineStr">
        <is>
          <t>EU</t>
        </is>
      </c>
      <c r="C79" s="2" t="n">
        <v>31</v>
      </c>
      <c r="D79" s="2" t="inlineStr">
        <is>
          <t>Aquiti Gestion</t>
        </is>
      </c>
      <c r="E79" s="2" t="inlineStr">
        <is>
          <t>GENERALIST</t>
        </is>
      </c>
      <c r="F79" s="4" t="inlineStr">
        <is>
          <t>MAYBE</t>
        </is>
      </c>
      <c r="G79" s="2" t="inlineStr"/>
      <c r="H79" s="2" t="inlineStr">
        <is>
          <t>regional South-West France</t>
        </is>
      </c>
    </row>
    <row r="80">
      <c r="A80" s="2" t="inlineStr">
        <is>
          <t>FR</t>
        </is>
      </c>
      <c r="B80" t="inlineStr">
        <is>
          <t>EU</t>
        </is>
      </c>
      <c r="C80" s="2" t="n">
        <v>34</v>
      </c>
      <c r="D80" s="2" t="inlineStr">
        <is>
          <t>Techmind (?)</t>
        </is>
      </c>
      <c r="E80" s="2" t="inlineStr">
        <is>
          <t>DEEPTECH</t>
        </is>
      </c>
      <c r="F80" s="4" t="inlineStr">
        <is>
          <t>MAYBE</t>
        </is>
      </c>
      <c r="G80" s="2" t="inlineStr"/>
      <c r="H80" s="2" t="inlineStr">
        <is>
          <t>user to confirm</t>
        </is>
      </c>
    </row>
    <row r="81">
      <c r="A81" s="2" t="inlineStr">
        <is>
          <t>FR</t>
        </is>
      </c>
      <c r="B81" t="inlineStr">
        <is>
          <t>EU</t>
        </is>
      </c>
      <c r="C81" s="2" t="n">
        <v>36</v>
      </c>
      <c r="D81" s="2" t="inlineStr">
        <is>
          <t>Jeito Capital</t>
        </is>
      </c>
      <c r="E81" s="2" t="inlineStr">
        <is>
          <t>BIO</t>
        </is>
      </c>
      <c r="F81" s="4" t="inlineStr">
        <is>
          <t>MAYBE</t>
        </is>
      </c>
      <c r="G81" s="2" t="inlineStr">
        <is>
          <t>https://www.jeito.life/portfolio/</t>
        </is>
      </c>
      <c r="H81" s="2" t="inlineStr">
        <is>
          <t>biotech</t>
        </is>
      </c>
    </row>
    <row r="82">
      <c r="A82" s="2" t="inlineStr">
        <is>
          <t>FR</t>
        </is>
      </c>
      <c r="B82" t="inlineStr">
        <is>
          <t>EU</t>
        </is>
      </c>
      <c r="C82" s="2" t="n">
        <v>37</v>
      </c>
      <c r="D82" s="2" t="inlineStr">
        <is>
          <t>BreizhUp</t>
        </is>
      </c>
      <c r="E82" s="2" t="inlineStr">
        <is>
          <t>GENERALIST</t>
        </is>
      </c>
      <c r="F82" s="4" t="inlineStr">
        <is>
          <t>MAYBE</t>
        </is>
      </c>
      <c r="G82" s="2" t="inlineStr"/>
      <c r="H82" s="2" t="inlineStr">
        <is>
          <t>Brittany regional</t>
        </is>
      </c>
    </row>
    <row r="83">
      <c r="A83" s="2" t="inlineStr">
        <is>
          <t>FR</t>
        </is>
      </c>
      <c r="B83" t="inlineStr">
        <is>
          <t>EU</t>
        </is>
      </c>
      <c r="C83" s="2" t="n">
        <v>38</v>
      </c>
      <c r="D83" s="2" t="inlineStr">
        <is>
          <t>Cap Horn</t>
        </is>
      </c>
      <c r="E83" s="2" t="inlineStr">
        <is>
          <t>GENERALIST+IND-AI</t>
        </is>
      </c>
      <c r="F83" s="4" t="inlineStr">
        <is>
          <t>MAYBE</t>
        </is>
      </c>
      <c r="G83" s="2" t="inlineStr">
        <is>
          <t>https://www.caphorn.fr/portfolio/</t>
        </is>
      </c>
      <c r="H83" s="2" t="inlineStr">
        <is>
          <t>B2B + some industrial AI</t>
        </is>
      </c>
    </row>
    <row r="84">
      <c r="A84" s="2" t="inlineStr">
        <is>
          <t>FR</t>
        </is>
      </c>
      <c r="B84" t="inlineStr">
        <is>
          <t>EU</t>
        </is>
      </c>
      <c r="C84" s="2" t="n">
        <v>41</v>
      </c>
      <c r="D84" s="2" t="inlineStr">
        <is>
          <t>Sharpstone Capital</t>
        </is>
      </c>
      <c r="E84" s="2" t="inlineStr">
        <is>
          <t>GENERALIST</t>
        </is>
      </c>
      <c r="F84" s="4" t="inlineStr">
        <is>
          <t>MAYBE</t>
        </is>
      </c>
      <c r="G84" s="2" t="inlineStr"/>
      <c r="H84" s="2" t="inlineStr">
        <is>
          <t>broad</t>
        </is>
      </c>
    </row>
    <row r="85">
      <c r="A85" s="2" t="inlineStr">
        <is>
          <t>FR</t>
        </is>
      </c>
      <c r="B85" t="inlineStr">
        <is>
          <t>EU</t>
        </is>
      </c>
      <c r="C85" s="2" t="n">
        <v>43</v>
      </c>
      <c r="D85" s="2" t="inlineStr">
        <is>
          <t>Odyssée Venture</t>
        </is>
      </c>
      <c r="E85" s="2" t="inlineStr">
        <is>
          <t>GENERALIST</t>
        </is>
      </c>
      <c r="F85" s="4" t="inlineStr">
        <is>
          <t>MAYBE</t>
        </is>
      </c>
      <c r="G85" s="2" t="inlineStr">
        <is>
          <t>https://www.odyssee-venture.com/portfolio</t>
        </is>
      </c>
      <c r="H85" s="2" t="inlineStr">
        <is>
          <t>broad</t>
        </is>
      </c>
    </row>
    <row r="86">
      <c r="A86" s="2" t="inlineStr">
        <is>
          <t>FR</t>
        </is>
      </c>
      <c r="B86" t="inlineStr">
        <is>
          <t>EU</t>
        </is>
      </c>
      <c r="C86" s="2" t="n">
        <v>47</v>
      </c>
      <c r="D86" s="2" t="inlineStr">
        <is>
          <t>Singular</t>
        </is>
      </c>
      <c r="E86" s="2" t="inlineStr">
        <is>
          <t>DEEPTECH</t>
        </is>
      </c>
      <c r="F86" s="4" t="inlineStr">
        <is>
          <t>MAYBE</t>
        </is>
      </c>
      <c r="G86" s="2" t="inlineStr">
        <is>
          <t>https://www.singular.vc/portfolio</t>
        </is>
      </c>
      <c r="H86" s="2" t="inlineStr">
        <is>
          <t>deep tech + AI</t>
        </is>
      </c>
    </row>
    <row r="87">
      <c r="A87" s="2" t="inlineStr">
        <is>
          <t>FR</t>
        </is>
      </c>
      <c r="B87" t="inlineStr">
        <is>
          <t>EU</t>
        </is>
      </c>
      <c r="C87" s="2" t="n">
        <v>50</v>
      </c>
      <c r="D87" s="2" t="inlineStr">
        <is>
          <t>Citizen Capital</t>
        </is>
      </c>
      <c r="E87" s="2" t="inlineStr">
        <is>
          <t>IMPACT</t>
        </is>
      </c>
      <c r="F87" s="4" t="inlineStr">
        <is>
          <t>MAYBE</t>
        </is>
      </c>
      <c r="G87" s="2" t="inlineStr">
        <is>
          <t>https://www.citizencapital.fr/portfolio/</t>
        </is>
      </c>
      <c r="H87" s="2" t="inlineStr">
        <is>
          <t>impact</t>
        </is>
      </c>
    </row>
    <row r="88">
      <c r="A88" s="2" t="inlineStr">
        <is>
          <t>FR</t>
        </is>
      </c>
      <c r="B88" t="inlineStr">
        <is>
          <t>EU</t>
        </is>
      </c>
      <c r="C88" s="2" t="n">
        <v>50</v>
      </c>
      <c r="D88" s="2" t="inlineStr">
        <is>
          <t>Finovam</t>
        </is>
      </c>
      <c r="E88" s="2" t="inlineStr">
        <is>
          <t>GENERALIST</t>
        </is>
      </c>
      <c r="F88" s="4" t="inlineStr">
        <is>
          <t>MAYBE</t>
        </is>
      </c>
      <c r="G88" s="2" t="inlineStr"/>
      <c r="H88" s="2" t="inlineStr">
        <is>
          <t>Normandy regional</t>
        </is>
      </c>
    </row>
    <row r="89">
      <c r="A89" t="inlineStr">
        <is>
          <t>NL</t>
        </is>
      </c>
      <c r="B89" t="inlineStr">
        <is>
          <t>EU</t>
        </is>
      </c>
      <c r="C89" t="inlineStr"/>
      <c r="D89" t="inlineStr">
        <is>
          <t>SET Ventures</t>
        </is>
      </c>
      <c r="E89" t="inlineStr">
        <is>
          <t>digital energy/grid/storage</t>
        </is>
      </c>
      <c r="F89" t="inlineStr">
        <is>
          <t>High</t>
        </is>
      </c>
      <c r="G89" t="inlineStr">
        <is>
          <t>https://setventures.com/portfolio/</t>
        </is>
      </c>
      <c r="H89" t="inlineStr">
        <is>
          <t>Amsterdam carbon-free energy specialist</t>
        </is>
      </c>
    </row>
    <row r="90">
      <c r="A90" t="inlineStr">
        <is>
          <t>NL</t>
        </is>
      </c>
      <c r="B90" t="inlineStr">
        <is>
          <t>EU</t>
        </is>
      </c>
      <c r="C90" t="inlineStr"/>
      <c r="D90" t="inlineStr">
        <is>
          <t>Forbion BioEconomy</t>
        </is>
      </c>
      <c r="E90" t="inlineStr">
        <is>
          <t>industrial biotech/food/materials/agri</t>
        </is>
      </c>
      <c r="F90" t="inlineStr">
        <is>
          <t>High</t>
        </is>
      </c>
      <c r="G90" t="inlineStr">
        <is>
          <t>https://forbion.com/portfolio/bioeconomy/</t>
        </is>
      </c>
      <c r="H90" t="inlineStr">
        <is>
          <t>Dedicated bioeconomy fund, Naarden</t>
        </is>
      </c>
    </row>
    <row r="91">
      <c r="A91" t="inlineStr">
        <is>
          <t>NL</t>
        </is>
      </c>
      <c r="B91" t="inlineStr">
        <is>
          <t>EU</t>
        </is>
      </c>
      <c r="C91" t="inlineStr"/>
      <c r="D91" t="inlineStr">
        <is>
          <t>DSM-Firmenich Venturing</t>
        </is>
      </c>
      <c r="E91" t="inlineStr">
        <is>
          <t>nutrition/food/health/ingredients</t>
        </is>
      </c>
      <c r="F91" t="inlineStr">
        <is>
          <t>High</t>
        </is>
      </c>
      <c r="G91" t="inlineStr">
        <is>
          <t>https://our-company.dsm-firmenich.com/en/our-company/ventures/portfolio.html</t>
        </is>
      </c>
      <c r="H91" t="inlineStr">
        <is>
          <t>CVC arm, Heerlen</t>
        </is>
      </c>
    </row>
    <row r="92">
      <c r="A92" t="inlineStr">
        <is>
          <t>NL</t>
        </is>
      </c>
      <c r="B92" t="inlineStr">
        <is>
          <t>EU</t>
        </is>
      </c>
      <c r="C92" t="inlineStr"/>
      <c r="D92" t="inlineStr">
        <is>
          <t>EIT InnoEnergy</t>
        </is>
      </c>
      <c r="E92" t="inlineStr">
        <is>
          <t>clean energy/industry/battery value chain</t>
        </is>
      </c>
      <c r="F92" t="inlineStr">
        <is>
          <t>High</t>
        </is>
      </c>
      <c r="G92" t="inlineStr">
        <is>
          <t>https://www.innoenergy.com/for-innovators/portfolio/</t>
        </is>
      </c>
      <c r="H92" t="inlineStr">
        <is>
          <t>Industrialising cleantech, Eindhoven</t>
        </is>
      </c>
    </row>
    <row r="93">
      <c r="A93" t="inlineStr">
        <is>
          <t>BE</t>
        </is>
      </c>
      <c r="B93" t="inlineStr">
        <is>
          <t>EU</t>
        </is>
      </c>
      <c r="C93" t="inlineStr"/>
      <c r="D93" t="inlineStr">
        <is>
          <t>Astanor</t>
        </is>
      </c>
      <c r="E93" t="inlineStr">
        <is>
          <t>agrifood/foodtech/regenerative ag</t>
        </is>
      </c>
      <c r="F93" t="inlineStr">
        <is>
          <t>High</t>
        </is>
      </c>
      <c r="G93" t="inlineStr">
        <is>
          <t>https://astanor.com/portfolio/</t>
        </is>
      </c>
      <c r="H93" t="inlineStr">
        <is>
          <t>Soil-to-gut agrifood impact, Brussels</t>
        </is>
      </c>
    </row>
    <row r="94">
      <c r="A94" t="inlineStr">
        <is>
          <t>BE</t>
        </is>
      </c>
      <c r="B94" t="inlineStr">
        <is>
          <t>EU</t>
        </is>
      </c>
      <c r="C94" t="inlineStr"/>
      <c r="D94" t="inlineStr">
        <is>
          <t>Capricorn Partners</t>
        </is>
      </c>
      <c r="E94" t="inlineStr">
        <is>
          <t>sustainable/green chemistry/cleantech</t>
        </is>
      </c>
      <c r="F94" t="inlineStr">
        <is>
          <t>High</t>
        </is>
      </c>
      <c r="G94" t="inlineStr">
        <is>
          <t>https://capricorn.be/en/portfolio-items</t>
        </is>
      </c>
      <c r="H94" t="inlineStr">
        <is>
          <t>Sustainable Chemistry Fund, Leuven</t>
        </is>
      </c>
    </row>
    <row r="95">
      <c r="A95" t="inlineStr">
        <is>
          <t>SE</t>
        </is>
      </c>
      <c r="B95" t="inlineStr">
        <is>
          <t>EU</t>
        </is>
      </c>
      <c r="C95" t="inlineStr"/>
      <c r="D95" t="inlineStr">
        <is>
          <t>Norrsken VC</t>
        </is>
      </c>
      <c r="E95" t="inlineStr">
        <is>
          <t>climate/impact/industry/energy</t>
        </is>
      </c>
      <c r="F95" t="inlineStr">
        <is>
          <t>High</t>
        </is>
      </c>
      <c r="G95" t="inlineStr">
        <is>
          <t>https://www.norrsken.vc/portfolio</t>
        </is>
      </c>
      <c r="H95" t="inlineStr">
        <is>
          <t>Leading European impact VC, Stockholm</t>
        </is>
      </c>
    </row>
    <row r="96">
      <c r="A96" t="inlineStr">
        <is>
          <t>SE</t>
        </is>
      </c>
      <c r="B96" t="inlineStr">
        <is>
          <t>EU</t>
        </is>
      </c>
      <c r="C96" t="inlineStr"/>
      <c r="D96" t="inlineStr">
        <is>
          <t>Pale Blue Dot</t>
        </is>
      </c>
      <c r="E96" t="inlineStr">
        <is>
          <t>climate/materials/food/energy</t>
        </is>
      </c>
      <c r="F96" t="inlineStr">
        <is>
          <t>High</t>
        </is>
      </c>
      <c r="G96" t="inlineStr">
        <is>
          <t>https://paleblue.vc/portfolio</t>
        </is>
      </c>
      <c r="H96" t="inlineStr">
        <is>
          <t>Early-stage climate, Malmö</t>
        </is>
      </c>
    </row>
    <row r="97">
      <c r="A97" t="inlineStr">
        <is>
          <t>SE</t>
        </is>
      </c>
      <c r="B97" t="inlineStr">
        <is>
          <t>EU</t>
        </is>
      </c>
      <c r="C97" t="inlineStr"/>
      <c r="D97" t="inlineStr">
        <is>
          <t>Industrifonden</t>
        </is>
      </c>
      <c r="E97" t="inlineStr">
        <is>
          <t>deep tech/advanced materials/synbio/energy</t>
        </is>
      </c>
      <c r="F97" t="inlineStr">
        <is>
          <t>High</t>
        </is>
      </c>
      <c r="G97" t="inlineStr">
        <is>
          <t>https://industrifonden.com/portfolio/</t>
        </is>
      </c>
      <c r="H97" t="inlineStr">
        <is>
          <t>Sweden's national deep-tech VC</t>
        </is>
      </c>
    </row>
    <row r="98">
      <c r="A98" t="inlineStr">
        <is>
          <t>DK</t>
        </is>
      </c>
      <c r="B98" t="inlineStr">
        <is>
          <t>EU</t>
        </is>
      </c>
      <c r="C98" t="inlineStr"/>
      <c r="D98" t="inlineStr">
        <is>
          <t>Climentum Capital</t>
        </is>
      </c>
      <c r="E98" t="inlineStr">
        <is>
          <t>industrial decarbonization/cleantech/materials</t>
        </is>
      </c>
      <c r="F98" t="inlineStr">
        <is>
          <t>High</t>
        </is>
      </c>
      <c r="G98" t="inlineStr">
        <is>
          <t>https://climentum.com/portfolio</t>
        </is>
      </c>
      <c r="H98" t="inlineStr">
        <is>
          <t>Nordics+DACH re-industrialization, Copenhagen</t>
        </is>
      </c>
    </row>
    <row r="99">
      <c r="A99" t="inlineStr">
        <is>
          <t>DK</t>
        </is>
      </c>
      <c r="B99" t="inlineStr">
        <is>
          <t>EU</t>
        </is>
      </c>
      <c r="C99" t="inlineStr"/>
      <c r="D99" t="inlineStr">
        <is>
          <t>KOMPAS VC</t>
        </is>
      </c>
      <c r="E99" t="inlineStr">
        <is>
          <t>industrial/built environment/manufacturing</t>
        </is>
      </c>
      <c r="F99" t="inlineStr">
        <is>
          <t>High</t>
        </is>
      </c>
      <c r="G99" t="inlineStr">
        <is>
          <t>https://www.kompas.vc/portfolio</t>
        </is>
      </c>
      <c r="H99" t="inlineStr">
        <is>
          <t>Decarb of manufacturing+built env, Copenhagen</t>
        </is>
      </c>
    </row>
    <row r="100">
      <c r="A100" t="inlineStr">
        <is>
          <t>FI</t>
        </is>
      </c>
      <c r="B100" t="inlineStr">
        <is>
          <t>EU</t>
        </is>
      </c>
      <c r="C100" t="inlineStr"/>
      <c r="D100" t="inlineStr">
        <is>
          <t>Voima Ventures</t>
        </is>
      </c>
      <c r="E100" t="inlineStr">
        <is>
          <t>deep tech/materials/industrial biotech</t>
        </is>
      </c>
      <c r="F100" t="inlineStr">
        <is>
          <t>High</t>
        </is>
      </c>
      <c r="G100" t="inlineStr">
        <is>
          <t>https://voimaventures.com/portfolio/</t>
        </is>
      </c>
      <c r="H100" t="inlineStr">
        <is>
          <t>Science spinouts, Nordic+Baltic, Helsinki</t>
        </is>
      </c>
    </row>
    <row r="101">
      <c r="A101" t="inlineStr">
        <is>
          <t>FI</t>
        </is>
      </c>
      <c r="B101" t="inlineStr">
        <is>
          <t>EU</t>
        </is>
      </c>
      <c r="C101" t="inlineStr"/>
      <c r="D101" t="inlineStr">
        <is>
          <t>Nordic Foodtech VC</t>
        </is>
      </c>
      <c r="E101" t="inlineStr">
        <is>
          <t>food/nutrition tech/fermentation/agri</t>
        </is>
      </c>
      <c r="F101" t="inlineStr">
        <is>
          <t>High</t>
        </is>
      </c>
      <c r="G101" t="inlineStr">
        <is>
          <t>https://nft.vc/#portfolio</t>
        </is>
      </c>
      <c r="H101" t="inlineStr">
        <is>
          <t>First Nordic foodtech VC, Helsinki</t>
        </is>
      </c>
    </row>
    <row r="102">
      <c r="A102" t="inlineStr">
        <is>
          <t>NO</t>
        </is>
      </c>
      <c r="B102" t="inlineStr">
        <is>
          <t>EU</t>
        </is>
      </c>
      <c r="C102" t="inlineStr"/>
      <c r="D102" t="inlineStr">
        <is>
          <t>Nysnø Climate Investments</t>
        </is>
      </c>
      <c r="E102" t="inlineStr">
        <is>
          <t>clean energy/industry/circular/resource efficiency</t>
        </is>
      </c>
      <c r="F102" t="inlineStr">
        <is>
          <t>High</t>
        </is>
      </c>
      <c r="G102" t="inlineStr">
        <is>
          <t>https://nysnoinvest.no/en/portfolio/</t>
        </is>
      </c>
      <c r="H102" t="inlineStr">
        <is>
          <t>State-owned climate investor</t>
        </is>
      </c>
    </row>
    <row r="103">
      <c r="A103" t="inlineStr">
        <is>
          <t>LT</t>
        </is>
      </c>
      <c r="B103" t="inlineStr">
        <is>
          <t>EU</t>
        </is>
      </c>
      <c r="C103" t="inlineStr"/>
      <c r="D103" t="inlineStr">
        <is>
          <t>Contrarian Ventures</t>
        </is>
      </c>
      <c r="E103" t="inlineStr">
        <is>
          <t>climate/energy/industry/decarbonization</t>
        </is>
      </c>
      <c r="F103" t="inlineStr">
        <is>
          <t>High</t>
        </is>
      </c>
      <c r="G103" t="inlineStr">
        <is>
          <t>https://www.cventures.vc/founders/</t>
        </is>
      </c>
      <c r="H103" t="inlineStr">
        <is>
          <t>Pan-European climate seed, Vilnius</t>
        </is>
      </c>
    </row>
    <row r="104">
      <c r="A104" t="inlineStr">
        <is>
          <t>CZ</t>
        </is>
      </c>
      <c r="B104" t="inlineStr">
        <is>
          <t>EU</t>
        </is>
      </c>
      <c r="C104" t="inlineStr"/>
      <c r="D104" t="inlineStr">
        <is>
          <t>Inven Capital</t>
        </is>
      </c>
      <c r="E104" t="inlineStr">
        <is>
          <t>climate/energy/industrial/decarbonization</t>
        </is>
      </c>
      <c r="F104" t="inlineStr">
        <is>
          <t>High</t>
        </is>
      </c>
      <c r="G104" t="inlineStr">
        <is>
          <t>https://www.invencapital.cz/</t>
        </is>
      </c>
      <c r="H104" t="inlineStr">
        <is>
          <t>CEZ-backed cleantech, Prague</t>
        </is>
      </c>
    </row>
    <row r="105">
      <c r="A105" t="inlineStr">
        <is>
          <t>CH</t>
        </is>
      </c>
      <c r="B105" t="inlineStr">
        <is>
          <t>EU</t>
        </is>
      </c>
      <c r="C105" t="inlineStr"/>
      <c r="D105" t="inlineStr">
        <is>
          <t>Emerald Technology Ventures</t>
        </is>
      </c>
      <c r="E105" t="inlineStr">
        <is>
          <t>cleantech/energy/water/advanced materials/specialty chemicals</t>
        </is>
      </c>
      <c r="F105" t="inlineStr">
        <is>
          <t>High</t>
        </is>
      </c>
      <c r="G105" t="inlineStr">
        <is>
          <t>https://emerald.vc/portfolio</t>
        </is>
      </c>
      <c r="H105" t="inlineStr">
        <is>
          <t>Industrial innovation pioneer, Zurich</t>
        </is>
      </c>
    </row>
    <row r="106">
      <c r="A106" t="inlineStr">
        <is>
          <t>CH</t>
        </is>
      </c>
      <c r="B106" t="inlineStr">
        <is>
          <t>EU</t>
        </is>
      </c>
      <c r="C106" t="inlineStr"/>
      <c r="D106" t="inlineStr">
        <is>
          <t>Übermorgen Ventures</t>
        </is>
      </c>
      <c r="E106" t="inlineStr">
        <is>
          <t>climate/decarbonization/carbon removal/materials</t>
        </is>
      </c>
      <c r="F106" t="inlineStr">
        <is>
          <t>High</t>
        </is>
      </c>
      <c r="G106" t="inlineStr">
        <is>
          <t>https://www.uebermorgen.vc/portfolio</t>
        </is>
      </c>
      <c r="H106" t="inlineStr">
        <is>
          <t>DACH climate, pre-seed/seed, Zurich</t>
        </is>
      </c>
    </row>
    <row r="107">
      <c r="A107" t="inlineStr">
        <is>
          <t>AT</t>
        </is>
      </c>
      <c r="B107" t="inlineStr">
        <is>
          <t>EU</t>
        </is>
      </c>
      <c r="C107" t="inlineStr"/>
      <c r="D107" t="inlineStr">
        <is>
          <t>Speedinvest</t>
        </is>
      </c>
      <c r="E107" t="inlineStr">
        <is>
          <t>industrial tech/climate/energy/manufacturing</t>
        </is>
      </c>
      <c r="F107" t="inlineStr">
        <is>
          <t>High</t>
        </is>
      </c>
      <c r="G107" t="inlineStr">
        <is>
          <t>https://www.speedinvest.com/portfolio</t>
        </is>
      </c>
      <c r="H107" t="inlineStr">
        <is>
          <t>Climate &amp; Industry fund, Vienna</t>
        </is>
      </c>
    </row>
    <row r="108">
      <c r="A108" t="inlineStr">
        <is>
          <t>ES</t>
        </is>
      </c>
      <c r="B108" t="inlineStr">
        <is>
          <t>EU</t>
        </is>
      </c>
      <c r="C108" t="inlineStr"/>
      <c r="D108" t="inlineStr">
        <is>
          <t>Suma Capital</t>
        </is>
      </c>
      <c r="E108" t="inlineStr">
        <is>
          <t>industrial decarbonization/energy/circular</t>
        </is>
      </c>
      <c r="F108" t="inlineStr">
        <is>
          <t>High</t>
        </is>
      </c>
      <c r="G108" t="inlineStr">
        <is>
          <t>https://sumacapital.com/en/sc-venture/</t>
        </is>
      </c>
      <c r="H108" t="inlineStr">
        <is>
          <t>SC Net Zero Ventures, Barcelona</t>
        </is>
      </c>
    </row>
    <row r="109">
      <c r="A109" t="inlineStr">
        <is>
          <t>ES</t>
        </is>
      </c>
      <c r="B109" t="inlineStr">
        <is>
          <t>EU</t>
        </is>
      </c>
      <c r="C109" t="inlineStr"/>
      <c r="D109" t="inlineStr">
        <is>
          <t>Seaya (Andromeda)</t>
        </is>
      </c>
      <c r="E109" t="inlineStr">
        <is>
          <t>climate/energy transition/sustainable food/circular</t>
        </is>
      </c>
      <c r="F109" t="inlineStr">
        <is>
          <t>High</t>
        </is>
      </c>
      <c r="G109" t="inlineStr">
        <is>
          <t>https://seaya.vc/portfolio/</t>
        </is>
      </c>
      <c r="H109" t="inlineStr">
        <is>
          <t>Spain's largest VC, climate growth fund, Madrid</t>
        </is>
      </c>
    </row>
    <row r="110">
      <c r="A110" t="inlineStr">
        <is>
          <t>PT</t>
        </is>
      </c>
      <c r="B110" t="inlineStr">
        <is>
          <t>EU</t>
        </is>
      </c>
      <c r="C110" t="inlineStr"/>
      <c r="D110" t="inlineStr">
        <is>
          <t>Faber</t>
        </is>
      </c>
      <c r="E110" t="inlineStr">
        <is>
          <t>climate/ocean tech/deep tech</t>
        </is>
      </c>
      <c r="F110" t="inlineStr">
        <is>
          <t>High</t>
        </is>
      </c>
      <c r="G110" t="inlineStr">
        <is>
          <t>https://faber.vc/portfolio/</t>
        </is>
      </c>
      <c r="H110" t="inlineStr">
        <is>
          <t>Iberia blue economy + climate deep tech, Lisbon</t>
        </is>
      </c>
    </row>
    <row r="111">
      <c r="A111" t="inlineStr">
        <is>
          <t>DE</t>
        </is>
      </c>
      <c r="B111" t="inlineStr">
        <is>
          <t>EU</t>
        </is>
      </c>
      <c r="C111" t="inlineStr"/>
      <c r="D111" t="inlineStr">
        <is>
          <t>Evonik Venture Capital</t>
        </is>
      </c>
      <c r="E111" t="inlineStr">
        <is>
          <t>specialty chemicals/materials/nutrition</t>
        </is>
      </c>
      <c r="F111" t="inlineStr">
        <is>
          <t>High</t>
        </is>
      </c>
      <c r="G111" t="inlineStr">
        <is>
          <t>https://venturing.evonik.com/en/who-we-are</t>
        </is>
      </c>
      <c r="H111" t="inlineStr">
        <is>
          <t>Specialty chemicals CVC, Essen</t>
        </is>
      </c>
    </row>
    <row r="112">
      <c r="A112" t="inlineStr">
        <is>
          <t>Japan</t>
        </is>
      </c>
      <c r="B112" t="inlineStr">
        <is>
          <t>JP</t>
        </is>
      </c>
      <c r="C112" t="inlineStr"/>
      <c r="D112" t="inlineStr">
        <is>
          <t>Universal Materials Incubator (UMI)</t>
        </is>
      </c>
      <c r="E112" t="inlineStr">
        <is>
          <t>Specialty chemicals, advanced materials, industrial biotech</t>
        </is>
      </c>
      <c r="F112" t="inlineStr">
        <is>
          <t>High</t>
        </is>
      </c>
      <c r="G112" t="inlineStr">
        <is>
          <t>https://www.umi.co.jp/en/portfolio/</t>
        </is>
      </c>
      <c r="H112" t="inlineStr">
        <is>
          <t>Materials/chem specialist VC</t>
        </is>
      </c>
    </row>
    <row r="113">
      <c r="A113" t="inlineStr">
        <is>
          <t>Japan</t>
        </is>
      </c>
      <c r="B113" t="inlineStr">
        <is>
          <t>JP</t>
        </is>
      </c>
      <c r="C113" t="inlineStr"/>
      <c r="D113" t="inlineStr">
        <is>
          <t>UMI Growth Capital</t>
        </is>
      </c>
      <c r="E113" t="inlineStr">
        <is>
          <t>Specialty chemicals, advanced materials, growth</t>
        </is>
      </c>
      <c r="F113" t="inlineStr">
        <is>
          <t>High</t>
        </is>
      </c>
      <c r="G113" t="inlineStr">
        <is>
          <t>https://umi-gc.co.jp/en/</t>
        </is>
      </c>
      <c r="H113" t="inlineStr">
        <is>
          <t>UMI growth-stage arm, materials</t>
        </is>
      </c>
    </row>
    <row r="114">
      <c r="A114" t="inlineStr">
        <is>
          <t>Japan</t>
        </is>
      </c>
      <c r="B114" t="inlineStr">
        <is>
          <t>JP</t>
        </is>
      </c>
      <c r="C114" t="inlineStr"/>
      <c r="D114" t="inlineStr">
        <is>
          <t>UntroD Capital (Real Tech Holdings / Leave a Nest)</t>
        </is>
      </c>
      <c r="E114" t="inlineStr">
        <is>
          <t>Industrial biotech, materials, climate, deep tech</t>
        </is>
      </c>
      <c r="F114" t="inlineStr">
        <is>
          <t>High</t>
        </is>
      </c>
      <c r="G114" t="inlineStr">
        <is>
          <t>https://untrod.inc/en/portfolio/</t>
        </is>
      </c>
      <c r="H114" t="inlineStr">
        <is>
          <t>Deep-tech/Real Tech Fund, Euglena+Leave a Nest</t>
        </is>
      </c>
    </row>
    <row r="115">
      <c r="A115" t="inlineStr">
        <is>
          <t>Japan</t>
        </is>
      </c>
      <c r="B115" t="inlineStr">
        <is>
          <t>JP</t>
        </is>
      </c>
      <c r="C115" t="inlineStr"/>
      <c r="D115" t="inlineStr">
        <is>
          <t>Beyond Next Ventures</t>
        </is>
      </c>
      <c r="E115" t="inlineStr">
        <is>
          <t>Industrial biotech, agri-food, deep tech</t>
        </is>
      </c>
      <c r="F115" t="inlineStr">
        <is>
          <t>High</t>
        </is>
      </c>
      <c r="G115" t="inlineStr">
        <is>
          <t>https://beyondnextventures.com/portfolio/</t>
        </is>
      </c>
      <c r="H115" t="inlineStr">
        <is>
          <t>University deep-tech, seed-growth</t>
        </is>
      </c>
    </row>
    <row r="116">
      <c r="A116" t="inlineStr">
        <is>
          <t>Japan</t>
        </is>
      </c>
      <c r="B116" t="inlineStr">
        <is>
          <t>JP</t>
        </is>
      </c>
      <c r="C116" t="inlineStr"/>
      <c r="D116" t="inlineStr">
        <is>
          <t>ANRI (incl. ANRI GREEN Fund)</t>
        </is>
      </c>
      <c r="E116" t="inlineStr">
        <is>
          <t>Climate/decarbonization, deep tech, materials</t>
        </is>
      </c>
      <c r="F116" t="inlineStr">
        <is>
          <t>High</t>
        </is>
      </c>
      <c r="G116" t="inlineStr">
        <is>
          <t>https://anri.vc/</t>
        </is>
      </c>
      <c r="H116" t="inlineStr">
        <is>
          <t>Seed VC, dedicated decarbonization fund</t>
        </is>
      </c>
    </row>
    <row r="117">
      <c r="A117" t="inlineStr">
        <is>
          <t>Japan</t>
        </is>
      </c>
      <c r="B117" t="inlineStr">
        <is>
          <t>JP</t>
        </is>
      </c>
      <c r="C117" t="inlineStr"/>
      <c r="D117" t="inlineStr">
        <is>
          <t>UTEC (University of Tokyo Edge Capital)</t>
        </is>
      </c>
      <c r="E117" t="inlineStr">
        <is>
          <t>Advanced materials, industrial biotech, AI, deep tech</t>
        </is>
      </c>
      <c r="F117" t="inlineStr">
        <is>
          <t>High</t>
        </is>
      </c>
      <c r="G117" t="inlineStr">
        <is>
          <t>https://www.ut-ec.co.jp/english/our_companies/</t>
        </is>
      </c>
      <c r="H117" t="inlineStr">
        <is>
          <t>University deep-tech, physical sciences/materials</t>
        </is>
      </c>
    </row>
    <row r="118">
      <c r="A118" t="inlineStr">
        <is>
          <t>Japan</t>
        </is>
      </c>
      <c r="B118" t="inlineStr">
        <is>
          <t>JP</t>
        </is>
      </c>
      <c r="C118" t="inlineStr"/>
      <c r="D118" t="inlineStr">
        <is>
          <t>Mitsui &amp; Co. Global Investment (MGI)</t>
        </is>
      </c>
      <c r="E118" t="inlineStr">
        <is>
          <t>CCUS/carbon, climate, materials, agri-food</t>
        </is>
      </c>
      <c r="F118" t="inlineStr">
        <is>
          <t>High</t>
        </is>
      </c>
      <c r="G118" t="inlineStr">
        <is>
          <t>https://mitsui-global.com/our-portfolio/</t>
        </is>
      </c>
      <c r="H118" t="inlineStr">
        <is>
          <t>CVC of Mitsui &amp; Co., carbon mgmt (DAC, e-fuels)</t>
        </is>
      </c>
    </row>
    <row r="119">
      <c r="A119" t="inlineStr">
        <is>
          <t>Japan</t>
        </is>
      </c>
      <c r="B119" t="inlineStr">
        <is>
          <t>JP</t>
        </is>
      </c>
      <c r="C119" t="inlineStr"/>
      <c r="D119" t="inlineStr">
        <is>
          <t>Asahi Kasei Ventures</t>
        </is>
      </c>
      <c r="E119" t="inlineStr">
        <is>
          <t>Specialty chemicals, advanced materials, carbon neutrality</t>
        </is>
      </c>
      <c r="F119" t="inlineStr">
        <is>
          <t>High</t>
        </is>
      </c>
      <c r="G119" t="inlineStr">
        <is>
          <t>https://www.asahikaseiventures.com/</t>
        </is>
      </c>
      <c r="H119" t="inlineStr">
        <is>
          <t>CVC of Asahi Kasei, materials/healthcare</t>
        </is>
      </c>
    </row>
    <row r="120">
      <c r="A120" t="inlineStr">
        <is>
          <t>Japan</t>
        </is>
      </c>
      <c r="B120" t="inlineStr">
        <is>
          <t>JP</t>
        </is>
      </c>
      <c r="C120" t="inlineStr"/>
      <c r="D120" t="inlineStr">
        <is>
          <t>JGC MIRAI Innovation Fund</t>
        </is>
      </c>
      <c r="E120" t="inlineStr">
        <is>
          <t>CCUS/carbon, climate, industrial, infrastructure</t>
        </is>
      </c>
      <c r="F120" t="inlineStr">
        <is>
          <t>High</t>
        </is>
      </c>
      <c r="G120" t="inlineStr">
        <is>
          <t>https://jgc-mif.jp/</t>
        </is>
      </c>
      <c r="H120" t="inlineStr">
        <is>
          <t>CVC of JGC (engineering), carbon-neutral focus</t>
        </is>
      </c>
    </row>
    <row r="121">
      <c r="A121" t="inlineStr">
        <is>
          <t>Japan</t>
        </is>
      </c>
      <c r="B121" t="inlineStr">
        <is>
          <t>JP</t>
        </is>
      </c>
      <c r="C121" t="inlineStr"/>
      <c r="D121" t="inlineStr">
        <is>
          <t>ENEOS Innovation Partners (ENEOS MIRAI HUB)</t>
        </is>
      </c>
      <c r="E121" t="inlineStr">
        <is>
          <t>Decarbonization, circular economy, materials, energy</t>
        </is>
      </c>
      <c r="F121" t="inlineStr">
        <is>
          <t>High</t>
        </is>
      </c>
      <c r="G121" t="inlineStr">
        <is>
          <t>https://www.eneos-innovation.co.jp/english/collaborative-partners</t>
        </is>
      </c>
      <c r="H121" t="inlineStr">
        <is>
          <t>CVC of ENEOS Holdings, low-carbon</t>
        </is>
      </c>
    </row>
    <row r="122">
      <c r="A122" t="inlineStr">
        <is>
          <t>Japan</t>
        </is>
      </c>
      <c r="B122" t="inlineStr">
        <is>
          <t>JP</t>
        </is>
      </c>
      <c r="C122" t="inlineStr"/>
      <c r="D122" t="inlineStr">
        <is>
          <t>Japan Energy Fund (JERA Ventures)</t>
        </is>
      </c>
      <c r="E122" t="inlineStr">
        <is>
          <t>CCUS/carbon, energy transition, climate</t>
        </is>
      </c>
      <c r="F122" t="inlineStr">
        <is>
          <t>High</t>
        </is>
      </c>
      <c r="G122" t="inlineStr">
        <is>
          <t>https://www.japanenergyfund-ventures.com/portfolio</t>
        </is>
      </c>
      <c r="H122" t="inlineStr">
        <is>
          <t>CVC of JERA, decarbonization (Svante, Energy Dome)</t>
        </is>
      </c>
    </row>
    <row r="123">
      <c r="A123" t="inlineStr">
        <is>
          <t>USA</t>
        </is>
      </c>
      <c r="B123" t="inlineStr">
        <is>
          <t>US</t>
        </is>
      </c>
      <c r="C123" t="inlineStr"/>
      <c r="D123" t="inlineStr">
        <is>
          <t>Breakthrough Energy Ventures</t>
        </is>
      </c>
      <c r="E123" t="inlineStr">
        <is>
          <t>Climate tech, industrial decarb, CCUS, energy</t>
        </is>
      </c>
      <c r="F123" t="inlineStr">
        <is>
          <t>High</t>
        </is>
      </c>
      <c r="G123" t="inlineStr">
        <is>
          <t>https://www.breakthroughenergy.org/our-work/breakthrough-energy-ventures/</t>
        </is>
      </c>
      <c r="H123" t="inlineStr">
        <is>
          <t>Hard-tech climate, multi-stage</t>
        </is>
      </c>
    </row>
    <row r="124">
      <c r="A124" t="inlineStr">
        <is>
          <t>USA</t>
        </is>
      </c>
      <c r="B124" t="inlineStr">
        <is>
          <t>US</t>
        </is>
      </c>
      <c r="C124" t="inlineStr"/>
      <c r="D124" t="inlineStr">
        <is>
          <t>Lowercarbon Capital</t>
        </is>
      </c>
      <c r="E124" t="inlineStr">
        <is>
          <t>Carbon removal, climate, industrial, materials</t>
        </is>
      </c>
      <c r="F124" t="inlineStr">
        <is>
          <t>High</t>
        </is>
      </c>
      <c r="G124" t="inlineStr">
        <is>
          <t>https://lowercarbon.com/companies/</t>
        </is>
      </c>
      <c r="H124" t="inlineStr">
        <is>
          <t>Emissions cuts + carbon removal</t>
        </is>
      </c>
    </row>
    <row r="125">
      <c r="A125" t="inlineStr">
        <is>
          <t>USA</t>
        </is>
      </c>
      <c r="B125" t="inlineStr">
        <is>
          <t>US</t>
        </is>
      </c>
      <c r="C125" t="inlineStr"/>
      <c r="D125" t="inlineStr">
        <is>
          <t>DCVC (Data Collective)</t>
        </is>
      </c>
      <c r="E125" t="inlineStr">
        <is>
          <t>Deep tech, industrial AI, climate, biotech</t>
        </is>
      </c>
      <c r="F125" t="inlineStr">
        <is>
          <t>High</t>
        </is>
      </c>
      <c r="G125" t="inlineStr">
        <is>
          <t>https://www.dcvc.com/companies/</t>
        </is>
      </c>
      <c r="H125" t="inlineStr">
        <is>
          <t>Deep-tech, early-to-growth</t>
        </is>
      </c>
    </row>
    <row r="126">
      <c r="A126" t="inlineStr">
        <is>
          <t>USA</t>
        </is>
      </c>
      <c r="B126" t="inlineStr">
        <is>
          <t>US</t>
        </is>
      </c>
      <c r="C126" t="inlineStr"/>
      <c r="D126" t="inlineStr">
        <is>
          <t>The Engine Ventures</t>
        </is>
      </c>
      <c r="E126" t="inlineStr">
        <is>
          <t>Tough tech, energy, semiconductors, biotech, materials</t>
        </is>
      </c>
      <c r="F126" t="inlineStr">
        <is>
          <t>High</t>
        </is>
      </c>
      <c r="G126" t="inlineStr">
        <is>
          <t>https://engineventures.com/companies</t>
        </is>
      </c>
      <c r="H126" t="inlineStr">
        <is>
          <t>MIT-linked tough tech</t>
        </is>
      </c>
    </row>
    <row r="127">
      <c r="A127" t="inlineStr">
        <is>
          <t>USA</t>
        </is>
      </c>
      <c r="B127" t="inlineStr">
        <is>
          <t>US</t>
        </is>
      </c>
      <c r="C127" t="inlineStr"/>
      <c r="D127" t="inlineStr">
        <is>
          <t>Prime Movers Lab</t>
        </is>
      </c>
      <c r="E127" t="inlineStr">
        <is>
          <t>Deep tech, energy, advanced materials, agtech</t>
        </is>
      </c>
      <c r="F127" t="inlineStr">
        <is>
          <t>High</t>
        </is>
      </c>
      <c r="G127" t="inlineStr">
        <is>
          <t>https://www.primemoverslab.com/portfolio/</t>
        </is>
      </c>
      <c r="H127" t="inlineStr">
        <is>
          <t>Breakthrough-science startups</t>
        </is>
      </c>
    </row>
    <row r="128">
      <c r="A128" t="inlineStr">
        <is>
          <t>USA</t>
        </is>
      </c>
      <c r="B128" t="inlineStr">
        <is>
          <t>US</t>
        </is>
      </c>
      <c r="C128" t="inlineStr"/>
      <c r="D128" t="inlineStr">
        <is>
          <t>Material Impact</t>
        </is>
      </c>
      <c r="E128" t="inlineStr">
        <is>
          <t>Advanced materials, sustainable products, food</t>
        </is>
      </c>
      <c r="F128" t="inlineStr">
        <is>
          <t>High</t>
        </is>
      </c>
      <c r="G128" t="inlineStr">
        <is>
          <t>https://www.materialimpact.com/companies</t>
        </is>
      </c>
      <c r="H128" t="inlineStr">
        <is>
          <t>Materials-science first-money</t>
        </is>
      </c>
    </row>
    <row r="129">
      <c r="A129" t="inlineStr">
        <is>
          <t>USA</t>
        </is>
      </c>
      <c r="B129" t="inlineStr">
        <is>
          <t>US</t>
        </is>
      </c>
      <c r="C129" t="inlineStr"/>
      <c r="D129" t="inlineStr">
        <is>
          <t>Energy Impact Partners</t>
        </is>
      </c>
      <c r="E129" t="inlineStr">
        <is>
          <t>Climate/energy, industrial decarbonization</t>
        </is>
      </c>
      <c r="F129" t="inlineStr">
        <is>
          <t>High</t>
        </is>
      </c>
      <c r="G129" t="inlineStr">
        <is>
          <t>https://www.energyimpactpartners.com/_portfolio/</t>
        </is>
      </c>
      <c r="H129" t="inlineStr">
        <is>
          <t>Energy transition, growth</t>
        </is>
      </c>
    </row>
    <row r="130">
      <c r="A130" t="inlineStr">
        <is>
          <t>USA</t>
        </is>
      </c>
      <c r="B130" t="inlineStr">
        <is>
          <t>US</t>
        </is>
      </c>
      <c r="C130" t="inlineStr"/>
      <c r="D130" t="inlineStr">
        <is>
          <t>Khosla Ventures</t>
        </is>
      </c>
      <c r="E130" t="inlineStr">
        <is>
          <t>Climate/sustainability, frontier, food, AI</t>
        </is>
      </c>
      <c r="F130" t="inlineStr">
        <is>
          <t>High</t>
        </is>
      </c>
      <c r="G130" t="inlineStr">
        <is>
          <t>https://www.khoslaventures.com/portfolio/</t>
        </is>
      </c>
      <c r="H130" t="inlineStr">
        <is>
          <t>Broad deep-tech, all stages</t>
        </is>
      </c>
    </row>
    <row r="131">
      <c r="A131" t="inlineStr">
        <is>
          <t>USA</t>
        </is>
      </c>
      <c r="B131" t="inlineStr">
        <is>
          <t>US</t>
        </is>
      </c>
      <c r="C131" t="inlineStr"/>
      <c r="D131" t="inlineStr">
        <is>
          <t>AgFunder</t>
        </is>
      </c>
      <c r="E131" t="inlineStr">
        <is>
          <t>Food/agtech, biotech, materials, AI</t>
        </is>
      </c>
      <c r="F131" t="inlineStr">
        <is>
          <t>High</t>
        </is>
      </c>
      <c r="G131" t="inlineStr">
        <is>
          <t>https://agfunder.com/portfolio/</t>
        </is>
      </c>
      <c r="H131" t="inlineStr">
        <is>
          <t>Agrifood-tech specialist</t>
        </is>
      </c>
    </row>
    <row r="132">
      <c r="A132" t="inlineStr">
        <is>
          <t>USA</t>
        </is>
      </c>
      <c r="B132" t="inlineStr">
        <is>
          <t>US</t>
        </is>
      </c>
      <c r="C132" t="inlineStr"/>
      <c r="D132" t="inlineStr">
        <is>
          <t>S2G Investments (S2G Ventures)</t>
        </is>
      </c>
      <c r="E132" t="inlineStr">
        <is>
          <t>Food/ag, oceans, energy</t>
        </is>
      </c>
      <c r="F132" t="inlineStr">
        <is>
          <t>High</t>
        </is>
      </c>
      <c r="G132" t="inlineStr">
        <is>
          <t>https://www.s2ginvestments.com/companies</t>
        </is>
      </c>
      <c r="H132" t="inlineStr">
        <is>
          <t>Food/ag + energy, multi-stage</t>
        </is>
      </c>
    </row>
    <row r="133">
      <c r="A133" t="inlineStr">
        <is>
          <t>USA</t>
        </is>
      </c>
      <c r="B133" t="inlineStr">
        <is>
          <t>US</t>
        </is>
      </c>
      <c r="C133" t="inlineStr"/>
      <c r="D133" t="inlineStr">
        <is>
          <t>Fall Line Capital</t>
        </is>
      </c>
      <c r="E133" t="inlineStr">
        <is>
          <t>Agtech, food tech, climate, farmland</t>
        </is>
      </c>
      <c r="F133" t="inlineStr">
        <is>
          <t>High</t>
        </is>
      </c>
      <c r="G133" t="inlineStr">
        <is>
          <t>https://www.fall-line-capital.com/portfolio</t>
        </is>
      </c>
      <c r="H133" t="inlineStr">
        <is>
          <t>Ag + farmland real assets</t>
        </is>
      </c>
    </row>
    <row r="134">
      <c r="A134" t="inlineStr">
        <is>
          <t>USA</t>
        </is>
      </c>
      <c r="B134" t="inlineStr">
        <is>
          <t>US</t>
        </is>
      </c>
      <c r="C134" t="inlineStr"/>
      <c r="D134" t="inlineStr">
        <is>
          <t>Pangaea Ventures</t>
        </is>
      </c>
      <c r="E134" t="inlineStr">
        <is>
          <t>Advanced materials, biotech, planetary health</t>
        </is>
      </c>
      <c r="F134" t="inlineStr">
        <is>
          <t>High</t>
        </is>
      </c>
      <c r="G134" t="inlineStr">
        <is>
          <t>https://www.pangaeaventures.com/portfolio</t>
        </is>
      </c>
      <c r="H134" t="inlineStr">
        <is>
          <t>Hard-tech materials science</t>
        </is>
      </c>
    </row>
    <row r="135">
      <c r="A135" t="inlineStr">
        <is>
          <t>USA</t>
        </is>
      </c>
      <c r="B135" t="inlineStr">
        <is>
          <t>US</t>
        </is>
      </c>
      <c r="C135" t="inlineStr"/>
      <c r="D135" t="inlineStr">
        <is>
          <t>Safar Partners</t>
        </is>
      </c>
      <c r="E135" t="inlineStr">
        <is>
          <t>Cleantech, advanced materials, AI/robotics</t>
        </is>
      </c>
      <c r="F135" t="inlineStr">
        <is>
          <t>High</t>
        </is>
      </c>
      <c r="G135" t="inlineStr">
        <is>
          <t>https://www.safar.partners/category/portfolio-companies/</t>
        </is>
      </c>
      <c r="H135" t="inlineStr">
        <is>
          <t>University-spinout deep tech</t>
        </is>
      </c>
    </row>
    <row r="136">
      <c r="A136" t="inlineStr">
        <is>
          <t>USA</t>
        </is>
      </c>
      <c r="B136" t="inlineStr">
        <is>
          <t>US</t>
        </is>
      </c>
      <c r="C136" t="inlineStr"/>
      <c r="D136" t="inlineStr">
        <is>
          <t>Clear Current Capital</t>
        </is>
      </c>
      <c r="E136" t="inlineStr">
        <is>
          <t>Alt-protein, food tech, biotech</t>
        </is>
      </c>
      <c r="F136" t="inlineStr">
        <is>
          <t>High</t>
        </is>
      </c>
      <c r="G136" t="inlineStr">
        <is>
          <t>https://www.clearcurrentcapital.com/portfolio</t>
        </is>
      </c>
      <c r="H136" t="inlineStr">
        <is>
          <t>Sustainable food specialist</t>
        </is>
      </c>
    </row>
    <row r="137">
      <c r="A137" t="inlineStr">
        <is>
          <t>USA</t>
        </is>
      </c>
      <c r="B137" t="inlineStr">
        <is>
          <t>US</t>
        </is>
      </c>
      <c r="C137" t="inlineStr"/>
      <c r="D137" t="inlineStr">
        <is>
          <t>Congruent Ventures</t>
        </is>
      </c>
      <c r="E137" t="inlineStr">
        <is>
          <t>Climate, energy, food/ag, sustainable production</t>
        </is>
      </c>
      <c r="F137" t="inlineStr">
        <is>
          <t>High</t>
        </is>
      </c>
      <c r="G137" t="inlineStr">
        <is>
          <t>https://www.congruentvc.com/portfolio</t>
        </is>
      </c>
      <c r="H137" t="inlineStr">
        <is>
          <t>Early-stage climate</t>
        </is>
      </c>
    </row>
    <row r="138">
      <c r="A138" t="inlineStr">
        <is>
          <t>USA</t>
        </is>
      </c>
      <c r="B138" t="inlineStr">
        <is>
          <t>US</t>
        </is>
      </c>
      <c r="C138" t="inlineStr"/>
      <c r="D138" t="inlineStr">
        <is>
          <t>At One Ventures</t>
        </is>
      </c>
      <c r="E138" t="inlineStr">
        <is>
          <t>Climate, materials, manufacturing, food/ag</t>
        </is>
      </c>
      <c r="F138" t="inlineStr">
        <is>
          <t>High</t>
        </is>
      </c>
      <c r="G138" t="inlineStr">
        <is>
          <t>https://www.atoneventures.com/portfolio</t>
        </is>
      </c>
      <c r="H138" t="inlineStr">
        <is>
          <t>Nature-positive deep tech</t>
        </is>
      </c>
    </row>
    <row r="139">
      <c r="A139" t="inlineStr">
        <is>
          <t>USA</t>
        </is>
      </c>
      <c r="B139" t="inlineStr">
        <is>
          <t>US</t>
        </is>
      </c>
      <c r="C139" t="inlineStr"/>
      <c r="D139" t="inlineStr">
        <is>
          <t>Voyager Ventures</t>
        </is>
      </c>
      <c r="E139" t="inlineStr">
        <is>
          <t>Climate, industrial decarbonization, materials</t>
        </is>
      </c>
      <c r="F139" t="inlineStr">
        <is>
          <t>High</t>
        </is>
      </c>
      <c r="G139" t="inlineStr">
        <is>
          <t>https://www.voyagervc.com/portfolio</t>
        </is>
      </c>
      <c r="H139" t="inlineStr">
        <is>
          <t>Early-stage climate</t>
        </is>
      </c>
    </row>
    <row r="140">
      <c r="A140" t="inlineStr">
        <is>
          <t>USA</t>
        </is>
      </c>
      <c r="B140" t="inlineStr">
        <is>
          <t>US</t>
        </is>
      </c>
      <c r="C140" t="inlineStr"/>
      <c r="D140" t="inlineStr">
        <is>
          <t>SOSV / IndieBio</t>
        </is>
      </c>
      <c r="E140" t="inlineStr">
        <is>
          <t>Biotech, industrial biotech, food, materials</t>
        </is>
      </c>
      <c r="F140" t="inlineStr">
        <is>
          <t>High</t>
        </is>
      </c>
      <c r="G140" t="inlineStr">
        <is>
          <t>https://sosv.com/portfolio/</t>
        </is>
      </c>
      <c r="H140" t="inlineStr">
        <is>
          <t>Deep-tech/bio accelerator</t>
        </is>
      </c>
    </row>
    <row r="141">
      <c r="A141" t="inlineStr">
        <is>
          <t>USA</t>
        </is>
      </c>
      <c r="B141" t="inlineStr">
        <is>
          <t>US</t>
        </is>
      </c>
      <c r="C141" t="inlineStr"/>
      <c r="D141" t="inlineStr">
        <is>
          <t>1955 Capital</t>
        </is>
      </c>
      <c r="E141" t="inlineStr">
        <is>
          <t>Energy, materials, food, sustainable manufacturing</t>
        </is>
      </c>
      <c r="F141" t="inlineStr">
        <is>
          <t>High</t>
        </is>
      </c>
      <c r="G141" t="inlineStr">
        <is>
          <t>https://1955.capital/portfolio</t>
        </is>
      </c>
      <c r="H141" t="inlineStr">
        <is>
          <t>Deep-tech, waste-to-value chemicals</t>
        </is>
      </c>
    </row>
    <row r="142">
      <c r="A142" t="inlineStr">
        <is>
          <t>USA</t>
        </is>
      </c>
      <c r="B142" t="inlineStr">
        <is>
          <t>US</t>
        </is>
      </c>
      <c r="C142" t="inlineStr"/>
      <c r="D142" t="inlineStr">
        <is>
          <t>Clean Energy Ventures</t>
        </is>
      </c>
      <c r="E142" t="inlineStr">
        <is>
          <t>Climate, industrial decarb, materials, storage</t>
        </is>
      </c>
      <c r="F142" t="inlineStr">
        <is>
          <t>High</t>
        </is>
      </c>
      <c r="G142" t="inlineStr">
        <is>
          <t>https://www.cleanenergyventures.com/portfolio/</t>
        </is>
      </c>
      <c r="H142" t="inlineStr">
        <is>
          <t>Early-stage climate tech</t>
        </is>
      </c>
    </row>
    <row r="143">
      <c r="A143" t="inlineStr">
        <is>
          <t>USA</t>
        </is>
      </c>
      <c r="B143" t="inlineStr">
        <is>
          <t>US</t>
        </is>
      </c>
      <c r="C143" t="inlineStr"/>
      <c r="D143" t="inlineStr">
        <is>
          <t>G2 Venture Partners</t>
        </is>
      </c>
      <c r="E143" t="inlineStr">
        <is>
          <t>Sustainable industry, energy, robotics, AI</t>
        </is>
      </c>
      <c r="F143" t="inlineStr">
        <is>
          <t>High</t>
        </is>
      </c>
      <c r="G143" t="inlineStr">
        <is>
          <t>https://g2vp.com/portfolio/</t>
        </is>
      </c>
      <c r="H143" t="inlineStr">
        <is>
          <t>Industrial transformation, growth</t>
        </is>
      </c>
    </row>
    <row r="144">
      <c r="A144" t="inlineStr">
        <is>
          <t>USA</t>
        </is>
      </c>
      <c r="B144" t="inlineStr">
        <is>
          <t>US</t>
        </is>
      </c>
      <c r="C144" t="inlineStr"/>
      <c r="D144" t="inlineStr">
        <is>
          <t>8090 Industries</t>
        </is>
      </c>
      <c r="E144" t="inlineStr">
        <is>
          <t>Industrial decarb, biotech, materials, manufacturing</t>
        </is>
      </c>
      <c r="F144" t="inlineStr">
        <is>
          <t>High</t>
        </is>
      </c>
      <c r="G144" t="inlineStr">
        <is>
          <t>https://8090industries.com/portfolio</t>
        </is>
      </c>
      <c r="H144" t="inlineStr">
        <is>
          <t>Industrialist-backed deep tech</t>
        </is>
      </c>
    </row>
    <row r="145">
      <c r="A145" t="inlineStr">
        <is>
          <t>USA</t>
        </is>
      </c>
      <c r="B145" t="inlineStr">
        <is>
          <t>US</t>
        </is>
      </c>
      <c r="C145" t="inlineStr"/>
      <c r="D145" t="inlineStr">
        <is>
          <t>Ecosystem Integrity Fund</t>
        </is>
      </c>
      <c r="E145" t="inlineStr">
        <is>
          <t>Renewables, green chemistry, ag, sustainable food</t>
        </is>
      </c>
      <c r="F145" t="inlineStr">
        <is>
          <t>High</t>
        </is>
      </c>
      <c r="G145" t="inlineStr">
        <is>
          <t>https://eif.vc/portfolio/</t>
        </is>
      </c>
      <c r="H145" t="inlineStr">
        <is>
          <t>Early-growth sustainability</t>
        </is>
      </c>
    </row>
    <row r="146">
      <c r="A146" t="inlineStr">
        <is>
          <t>USA</t>
        </is>
      </c>
      <c r="B146" t="inlineStr">
        <is>
          <t>US</t>
        </is>
      </c>
      <c r="C146" t="inlineStr"/>
      <c r="D146" t="inlineStr">
        <is>
          <t>Elemental Impact (Elemental Excelerator)</t>
        </is>
      </c>
      <c r="E146" t="inlineStr">
        <is>
          <t>Climate, energy, food/ag, industry, water</t>
        </is>
      </c>
      <c r="F146" t="inlineStr">
        <is>
          <t>High</t>
        </is>
      </c>
      <c r="G146" t="inlineStr">
        <is>
          <t>https://elementalimpact.com/companies/</t>
        </is>
      </c>
      <c r="H146" t="inlineStr">
        <is>
          <t>Climate project + equity</t>
        </is>
      </c>
    </row>
    <row r="147">
      <c r="A147" t="inlineStr">
        <is>
          <t>USA</t>
        </is>
      </c>
      <c r="B147" t="inlineStr">
        <is>
          <t>US</t>
        </is>
      </c>
      <c r="C147" t="inlineStr"/>
      <c r="D147" t="inlineStr">
        <is>
          <t>TDK Ventures</t>
        </is>
      </c>
      <c r="E147" t="inlineStr">
        <is>
          <t>Advanced materials, energy, industrial, robotics</t>
        </is>
      </c>
      <c r="F147" t="inlineStr">
        <is>
          <t>High</t>
        </is>
      </c>
      <c r="G147" t="inlineStr">
        <is>
          <t>https://tdk-ventures.com/portfolio/</t>
        </is>
      </c>
      <c r="H147" t="inlineStr">
        <is>
          <t>Materials/electronics CVC</t>
        </is>
      </c>
    </row>
    <row r="148">
      <c r="A148" t="inlineStr">
        <is>
          <t>USA</t>
        </is>
      </c>
      <c r="B148" t="inlineStr">
        <is>
          <t>US</t>
        </is>
      </c>
      <c r="C148" t="inlineStr"/>
      <c r="D148" t="inlineStr">
        <is>
          <t>Azolla Ventures</t>
        </is>
      </c>
      <c r="E148" t="inlineStr">
        <is>
          <t>Climate, industrial, carbon, materials</t>
        </is>
      </c>
      <c r="F148" t="inlineStr">
        <is>
          <t>High</t>
        </is>
      </c>
      <c r="G148" t="inlineStr">
        <is>
          <t>https://azollaventures.com/our-portfolio/</t>
        </is>
      </c>
      <c r="H148" t="inlineStr">
        <is>
          <t>Catalytic early climate (Prime Coalition)</t>
        </is>
      </c>
    </row>
    <row r="149">
      <c r="A149" t="inlineStr">
        <is>
          <t>USA</t>
        </is>
      </c>
      <c r="B149" t="inlineStr">
        <is>
          <t>US</t>
        </is>
      </c>
      <c r="C149" t="inlineStr"/>
      <c r="D149" t="inlineStr">
        <is>
          <t>Ironspring Ventures</t>
        </is>
      </c>
      <c r="E149" t="inlineStr">
        <is>
          <t>Industrial, manufacturing, construction, energy</t>
        </is>
      </c>
      <c r="F149" t="inlineStr">
        <is>
          <t>High</t>
        </is>
      </c>
      <c r="G149" t="inlineStr">
        <is>
          <t>https://ironspring.com/portfolio-companies/</t>
        </is>
      </c>
      <c r="H149" t="inlineStr">
        <is>
          <t>Digital industrial innovation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40" customWidth="1" min="3" max="3"/>
    <col width="20" customWidth="1" min="4" max="4"/>
    <col width="8" customWidth="1" min="5" max="5"/>
    <col width="50" customWidth="1" min="6" max="6"/>
    <col width="60" customWidth="1" min="7" max="7"/>
    <col width="12" customWidth="1" min="8" max="8"/>
  </cols>
  <sheetData>
    <row r="1" ht="28" customHeight="1">
      <c r="A1" s="1" t="inlineStr">
        <is>
          <t>Country</t>
        </is>
      </c>
      <c r="B1" t="inlineStr">
        <is>
          <t>Region</t>
        </is>
      </c>
      <c r="C1" s="1" t="inlineStr">
        <is>
          <t>Rank</t>
        </is>
      </c>
      <c r="D1" s="1" t="inlineStr">
        <is>
          <t>VC</t>
        </is>
      </c>
      <c r="E1" s="1" t="inlineStr">
        <is>
          <t>Sectors (best-effort)</t>
        </is>
      </c>
      <c r="F1" s="1" t="inlineStr">
        <is>
          <t>Fit</t>
        </is>
      </c>
      <c r="G1" s="1" t="inlineStr">
        <is>
          <t>Portfolio URL</t>
        </is>
      </c>
      <c r="H1" s="1" t="inlineStr">
        <is>
          <t>Note</t>
        </is>
      </c>
      <c r="I1" s="1" t="inlineStr">
        <is>
          <t>Source</t>
        </is>
      </c>
    </row>
    <row r="2">
      <c r="A2" s="7" t="inlineStr">
        <is>
          <t>NY</t>
        </is>
      </c>
      <c r="B2" t="inlineStr">
        <is>
          <t>US</t>
        </is>
      </c>
      <c r="C2" s="7" t="n">
        <v>1</v>
      </c>
      <c r="D2" s="7" t="inlineStr">
        <is>
          <t>JP Morgan Asset Management</t>
        </is>
      </c>
      <c r="E2" s="7" t="inlineStr">
        <is>
          <t>CLIMATE</t>
        </is>
      </c>
      <c r="F2" s="8" t="inlineStr">
        <is>
          <t>YES</t>
        </is>
      </c>
      <c r="G2" s="7">
        <f>HYPERLINK("http://am.jpmorgan.com", "am.jpmorgan.com")</f>
        <v/>
      </c>
      <c r="H2" s="7" t="inlineStr">
        <is>
          <t>AUM: $3666432.3B | Portfolio: 87 companies</t>
        </is>
      </c>
      <c r="I2" s="7" t="inlineStr">
        <is>
          <t>PitchBook</t>
        </is>
      </c>
    </row>
    <row r="3">
      <c r="A3" s="7" t="inlineStr">
        <is>
          <t>Germany</t>
        </is>
      </c>
      <c r="B3" t="inlineStr">
        <is>
          <t>EU</t>
        </is>
      </c>
      <c r="C3" s="7" t="n">
        <v>2</v>
      </c>
      <c r="D3" s="7" t="inlineStr">
        <is>
          <t>KfW Group</t>
        </is>
      </c>
      <c r="E3" s="7" t="inlineStr">
        <is>
          <t>CLIMATE</t>
        </is>
      </c>
      <c r="F3" s="8" t="inlineStr">
        <is>
          <t>YES</t>
        </is>
      </c>
      <c r="G3" s="7">
        <f>HYPERLINK("http://www.kfw.de", "www.kfw.de")</f>
        <v/>
      </c>
      <c r="H3" s="7" t="inlineStr">
        <is>
          <t>AUM: $555200.0B | Portfolio: 64 companies</t>
        </is>
      </c>
      <c r="I3" s="7" t="inlineStr">
        <is>
          <t>PitchBook</t>
        </is>
      </c>
    </row>
    <row r="4">
      <c r="A4" s="7" t="inlineStr">
        <is>
          <t>Singapore</t>
        </is>
      </c>
      <c r="B4" t="inlineStr">
        <is>
          <t>Other</t>
        </is>
      </c>
      <c r="C4" s="7" t="n">
        <v>3</v>
      </c>
      <c r="D4" s="7" t="inlineStr">
        <is>
          <t>Temasek Holdings</t>
        </is>
      </c>
      <c r="E4" s="7" t="inlineStr">
        <is>
          <t>CLIMATE</t>
        </is>
      </c>
      <c r="F4" s="8" t="inlineStr">
        <is>
          <t>YES</t>
        </is>
      </c>
      <c r="G4" s="7">
        <f>HYPERLINK("http://www.temasek.com.sg", "www.temasek.com.sg")</f>
        <v/>
      </c>
      <c r="H4" s="7" t="inlineStr">
        <is>
          <t>AUM: $290410.6B | Portfolio: 428 companies</t>
        </is>
      </c>
      <c r="I4" s="7" t="inlineStr">
        <is>
          <t>PitchBook</t>
        </is>
      </c>
    </row>
    <row r="5">
      <c r="A5" s="7" t="inlineStr">
        <is>
          <t>MA</t>
        </is>
      </c>
      <c r="B5" t="inlineStr">
        <is>
          <t>US</t>
        </is>
      </c>
      <c r="C5" s="7" t="n">
        <v>4</v>
      </c>
      <c r="D5" s="7" t="inlineStr">
        <is>
          <t>Bain Capital</t>
        </is>
      </c>
      <c r="E5" s="7" t="inlineStr">
        <is>
          <t>CLIMATE</t>
        </is>
      </c>
      <c r="F5" s="8" t="inlineStr">
        <is>
          <t>YES</t>
        </is>
      </c>
      <c r="G5" s="7">
        <f>HYPERLINK("http://www.baincapital.com", "www.baincapital.com")</f>
        <v/>
      </c>
      <c r="H5" s="7" t="inlineStr">
        <is>
          <t>AUM: $183321.6B | Portfolio: 258 companies</t>
        </is>
      </c>
      <c r="I5" s="7" t="inlineStr">
        <is>
          <t>PitchBook</t>
        </is>
      </c>
    </row>
    <row r="6">
      <c r="A6" s="7" t="inlineStr">
        <is>
          <t>NY</t>
        </is>
      </c>
      <c r="B6" t="inlineStr">
        <is>
          <t>US</t>
        </is>
      </c>
      <c r="C6" s="7" t="n">
        <v>5</v>
      </c>
      <c r="D6" s="7" t="inlineStr">
        <is>
          <t>Coatue Management</t>
        </is>
      </c>
      <c r="E6" s="7" t="inlineStr">
        <is>
          <t>CLIMATE</t>
        </is>
      </c>
      <c r="F6" s="8" t="inlineStr">
        <is>
          <t>YES</t>
        </is>
      </c>
      <c r="G6" s="7">
        <f>HYPERLINK("http://www.coatue.com", "www.coatue.com")</f>
        <v/>
      </c>
      <c r="H6" s="7" t="inlineStr">
        <is>
          <t>AUM: $79045.7B | Portfolio: 288 companies</t>
        </is>
      </c>
      <c r="I6" s="7" t="inlineStr">
        <is>
          <t>PitchBook</t>
        </is>
      </c>
    </row>
    <row r="7">
      <c r="A7" s="7" t="inlineStr">
        <is>
          <t>NY</t>
        </is>
      </c>
      <c r="B7" t="inlineStr">
        <is>
          <t>US</t>
        </is>
      </c>
      <c r="C7" s="7" t="n">
        <v>6</v>
      </c>
      <c r="D7" s="7" t="inlineStr">
        <is>
          <t>Insight Partners (New York)</t>
        </is>
      </c>
      <c r="E7" s="7" t="inlineStr">
        <is>
          <t>IND-AI</t>
        </is>
      </c>
      <c r="F7" s="8" t="inlineStr">
        <is>
          <t>YES</t>
        </is>
      </c>
      <c r="G7" s="7">
        <f>HYPERLINK("http://www.insightpartners.com", "www.insightpartners.com")</f>
        <v/>
      </c>
      <c r="H7" s="7" t="inlineStr">
        <is>
          <t>AUM: $78597.2B | Portfolio: 530 companies</t>
        </is>
      </c>
      <c r="I7" s="7" t="inlineStr">
        <is>
          <t>PitchBook</t>
        </is>
      </c>
    </row>
    <row r="8">
      <c r="A8" s="7" t="inlineStr">
        <is>
          <t>France</t>
        </is>
      </c>
      <c r="B8" t="inlineStr">
        <is>
          <t>EU</t>
        </is>
      </c>
      <c r="C8" s="7" t="n">
        <v>7</v>
      </c>
      <c r="D8" s="7" t="inlineStr">
        <is>
          <t>Bpifrance</t>
        </is>
      </c>
      <c r="E8" s="7" t="inlineStr">
        <is>
          <t>CLIMATE</t>
        </is>
      </c>
      <c r="F8" s="8" t="inlineStr">
        <is>
          <t>YES</t>
        </is>
      </c>
      <c r="G8" s="7">
        <f>HYPERLINK("http://www.bpifrance.fr", "www.bpifrance.fr")</f>
        <v/>
      </c>
      <c r="H8" s="7" t="inlineStr">
        <is>
          <t>AUM: $60000.0B | Portfolio: 1725 companies</t>
        </is>
      </c>
      <c r="I8" s="7" t="inlineStr">
        <is>
          <t>PitchBook</t>
        </is>
      </c>
    </row>
    <row r="9">
      <c r="A9" s="7" t="inlineStr">
        <is>
          <t>CA</t>
        </is>
      </c>
      <c r="B9" t="inlineStr">
        <is>
          <t>US</t>
        </is>
      </c>
      <c r="C9" s="7" t="n">
        <v>8</v>
      </c>
      <c r="D9" s="7" t="inlineStr">
        <is>
          <t>Sequoia Capital</t>
        </is>
      </c>
      <c r="E9" s="7" t="inlineStr">
        <is>
          <t>CLIMATE</t>
        </is>
      </c>
      <c r="F9" s="8" t="inlineStr">
        <is>
          <t>YES</t>
        </is>
      </c>
      <c r="G9" s="7">
        <f>HYPERLINK("http://sequoiacap.com", "sequoiacap.com")</f>
        <v/>
      </c>
      <c r="H9" s="7" t="inlineStr">
        <is>
          <t>AUM: $51544.2B | Portfolio: 897 companies</t>
        </is>
      </c>
      <c r="I9" s="7" t="inlineStr">
        <is>
          <t>PitchBook</t>
        </is>
      </c>
    </row>
    <row r="10">
      <c r="A10" s="7" t="inlineStr">
        <is>
          <t>Netherlands</t>
        </is>
      </c>
      <c r="B10" t="inlineStr">
        <is>
          <t>EU</t>
        </is>
      </c>
      <c r="C10" s="7" t="n">
        <v>9</v>
      </c>
      <c r="D10" s="7" t="inlineStr">
        <is>
          <t>Aegon Asset Management</t>
        </is>
      </c>
      <c r="E10" s="7" t="inlineStr">
        <is>
          <t>CLIMATE</t>
        </is>
      </c>
      <c r="F10" s="8" t="inlineStr">
        <is>
          <t>YES</t>
        </is>
      </c>
      <c r="G10" s="7">
        <f>HYPERLINK("http://www.aegonam.com", "www.aegonam.com")</f>
        <v/>
      </c>
      <c r="H10" s="7" t="inlineStr">
        <is>
          <t>AUM: $44871.2B | Portfolio: 9 companies</t>
        </is>
      </c>
      <c r="I10" s="7" t="inlineStr">
        <is>
          <t>PitchBook</t>
        </is>
      </c>
    </row>
    <row r="11">
      <c r="A11" s="7" t="inlineStr">
        <is>
          <t>CA</t>
        </is>
      </c>
      <c r="B11" t="inlineStr">
        <is>
          <t>US</t>
        </is>
      </c>
      <c r="C11" s="7" t="n">
        <v>10</v>
      </c>
      <c r="D11" s="7" t="inlineStr">
        <is>
          <t>New Enterprise Associates</t>
        </is>
      </c>
      <c r="E11" s="7" t="inlineStr">
        <is>
          <t>CLIMATE</t>
        </is>
      </c>
      <c r="F11" s="8" t="inlineStr">
        <is>
          <t>YES</t>
        </is>
      </c>
      <c r="G11" s="7">
        <f>HYPERLINK("http://www.nea.com", "www.nea.com")</f>
        <v/>
      </c>
      <c r="H11" s="7" t="inlineStr">
        <is>
          <t>AUM: $30339.3B | Portfolio: 356 companies</t>
        </is>
      </c>
      <c r="I11" s="7" t="inlineStr">
        <is>
          <t>PitchBook</t>
        </is>
      </c>
    </row>
    <row r="12">
      <c r="A12" s="7" t="inlineStr">
        <is>
          <t>CA</t>
        </is>
      </c>
      <c r="B12" t="inlineStr">
        <is>
          <t>US</t>
        </is>
      </c>
      <c r="C12" s="7" t="n">
        <v>11</v>
      </c>
      <c r="D12" s="7" t="inlineStr">
        <is>
          <t>Lightspeed Venture Partners</t>
        </is>
      </c>
      <c r="E12" s="7" t="inlineStr">
        <is>
          <t>CLIMATE</t>
        </is>
      </c>
      <c r="F12" s="8" t="inlineStr">
        <is>
          <t>YES</t>
        </is>
      </c>
      <c r="G12" s="7">
        <f>HYPERLINK("http://www.lsvp.com", "www.lsvp.com")</f>
        <v/>
      </c>
      <c r="H12" s="7" t="inlineStr">
        <is>
          <t>AUM: $25579.8B | Portfolio: 511 companies</t>
        </is>
      </c>
      <c r="I12" s="7" t="inlineStr">
        <is>
          <t>PitchBook</t>
        </is>
      </c>
    </row>
    <row r="13">
      <c r="A13" s="7" t="inlineStr">
        <is>
          <t>South Korea</t>
        </is>
      </c>
      <c r="B13" t="inlineStr">
        <is>
          <t>Other</t>
        </is>
      </c>
      <c r="C13" s="7" t="n">
        <v>12</v>
      </c>
      <c r="D13" s="7" t="inlineStr">
        <is>
          <t>KB Investment</t>
        </is>
      </c>
      <c r="E13" s="7" t="inlineStr">
        <is>
          <t>CHEM</t>
        </is>
      </c>
      <c r="F13" s="8" t="inlineStr">
        <is>
          <t>YES</t>
        </is>
      </c>
      <c r="G13" s="7">
        <f>HYPERLINK("http://www.kbic.co.kr/main/index", "www.kbic.co.kr/main/index")</f>
        <v/>
      </c>
      <c r="H13" s="7" t="inlineStr">
        <is>
          <t>AUM: $18677.9B | Portfolio: 447 companies</t>
        </is>
      </c>
      <c r="I13" s="7" t="inlineStr">
        <is>
          <t>PitchBook</t>
        </is>
      </c>
    </row>
    <row r="14">
      <c r="A14" s="7" t="inlineStr">
        <is>
          <t>CA</t>
        </is>
      </c>
      <c r="B14" t="inlineStr">
        <is>
          <t>US</t>
        </is>
      </c>
      <c r="C14" s="7" t="n">
        <v>13</v>
      </c>
      <c r="D14" s="7" t="inlineStr">
        <is>
          <t>Founders Fund</t>
        </is>
      </c>
      <c r="E14" s="7" t="inlineStr">
        <is>
          <t>CLIMATE</t>
        </is>
      </c>
      <c r="F14" s="8" t="inlineStr">
        <is>
          <t>YES</t>
        </is>
      </c>
      <c r="G14" s="7">
        <f>HYPERLINK("http://www.foundersfund.com", "www.foundersfund.com")</f>
        <v/>
      </c>
      <c r="H14" s="7" t="inlineStr">
        <is>
          <t>AUM: $14495.2B | Portfolio: 382 companies</t>
        </is>
      </c>
      <c r="I14" s="7" t="inlineStr">
        <is>
          <t>PitchBook</t>
        </is>
      </c>
    </row>
    <row r="15">
      <c r="A15" s="7" t="inlineStr">
        <is>
          <t>CA</t>
        </is>
      </c>
      <c r="B15" t="inlineStr">
        <is>
          <t>US</t>
        </is>
      </c>
      <c r="C15" s="7" t="n">
        <v>14</v>
      </c>
      <c r="D15" s="7" t="inlineStr">
        <is>
          <t>Khosla Ventures</t>
        </is>
      </c>
      <c r="E15" s="7" t="inlineStr">
        <is>
          <t>FOOD</t>
        </is>
      </c>
      <c r="F15" s="8" t="inlineStr">
        <is>
          <t>YES</t>
        </is>
      </c>
      <c r="G15" s="7">
        <f>HYPERLINK("http://www.khoslaventures.com", "www.khoslaventures.com")</f>
        <v/>
      </c>
      <c r="H15" s="7" t="inlineStr">
        <is>
          <t>AUM: $13642.5B | Portfolio: 457 companies</t>
        </is>
      </c>
      <c r="I15" s="7" t="inlineStr">
        <is>
          <t>PitchBook</t>
        </is>
      </c>
    </row>
    <row r="16">
      <c r="A16" s="7" t="inlineStr">
        <is>
          <t>CA</t>
        </is>
      </c>
      <c r="B16" t="inlineStr">
        <is>
          <t>US</t>
        </is>
      </c>
      <c r="C16" s="7" t="n">
        <v>15</v>
      </c>
      <c r="D16" s="7" t="inlineStr">
        <is>
          <t>Norwest</t>
        </is>
      </c>
      <c r="E16" s="7" t="inlineStr">
        <is>
          <t>IND-AI</t>
        </is>
      </c>
      <c r="F16" s="8" t="inlineStr">
        <is>
          <t>YES</t>
        </is>
      </c>
      <c r="G16" s="7">
        <f>HYPERLINK("http://www.norwest.com", "www.norwest.com")</f>
        <v/>
      </c>
      <c r="H16" s="7" t="inlineStr">
        <is>
          <t>AUM: $13216.2B | Portfolio: 230 companies</t>
        </is>
      </c>
      <c r="I16" s="7" t="inlineStr">
        <is>
          <t>PitchBook</t>
        </is>
      </c>
    </row>
    <row r="17">
      <c r="A17" s="7" t="inlineStr">
        <is>
          <t>Hong Kong</t>
        </is>
      </c>
      <c r="B17" t="inlineStr">
        <is>
          <t>Other</t>
        </is>
      </c>
      <c r="C17" s="7" t="n">
        <v>16</v>
      </c>
      <c r="D17" s="7" t="inlineStr">
        <is>
          <t>CITIC Capital</t>
        </is>
      </c>
      <c r="E17" s="7" t="inlineStr">
        <is>
          <t>CLIMATE</t>
        </is>
      </c>
      <c r="F17" s="8" t="inlineStr">
        <is>
          <t>YES</t>
        </is>
      </c>
      <c r="G17" s="7">
        <f>HYPERLINK("http://www.citiccapital.com", "www.citiccapital.com")</f>
        <v/>
      </c>
      <c r="H17" s="7" t="inlineStr">
        <is>
          <t>AUM: $11937.2B | Portfolio: 151 companies</t>
        </is>
      </c>
      <c r="I17" s="7" t="inlineStr">
        <is>
          <t>PitchBook</t>
        </is>
      </c>
    </row>
    <row r="18">
      <c r="A18" s="7" t="inlineStr">
        <is>
          <t>United Kingdom</t>
        </is>
      </c>
      <c r="B18" t="inlineStr">
        <is>
          <t>EU</t>
        </is>
      </c>
      <c r="C18" s="7" t="n">
        <v>17</v>
      </c>
      <c r="D18" s="7" t="inlineStr">
        <is>
          <t>Tobin Capital</t>
        </is>
      </c>
      <c r="E18" s="7" t="inlineStr">
        <is>
          <t>CLIMATE</t>
        </is>
      </c>
      <c r="F18" s="8" t="inlineStr">
        <is>
          <t>YES</t>
        </is>
      </c>
      <c r="G18" s="7">
        <f>HYPERLINK("http://www.tobincapital.co.uk", "www.tobincapital.co.uk")</f>
        <v/>
      </c>
      <c r="H18" s="7" t="inlineStr">
        <is>
          <t>AUM: $11521.9B | Portfolio: 12 companies</t>
        </is>
      </c>
      <c r="I18" s="7" t="inlineStr">
        <is>
          <t>PitchBook</t>
        </is>
      </c>
    </row>
    <row r="19">
      <c r="A19" s="7" t="inlineStr">
        <is>
          <t>MA</t>
        </is>
      </c>
      <c r="B19" t="inlineStr">
        <is>
          <t>US</t>
        </is>
      </c>
      <c r="C19" s="7" t="n">
        <v>18</v>
      </c>
      <c r="D19" s="7" t="inlineStr">
        <is>
          <t>Bain Capital Ventures</t>
        </is>
      </c>
      <c r="E19" s="7" t="inlineStr">
        <is>
          <t>IND-AI</t>
        </is>
      </c>
      <c r="F19" s="8" t="inlineStr">
        <is>
          <t>YES</t>
        </is>
      </c>
      <c r="G19" s="7">
        <f>HYPERLINK("http://www.baincapitalventures.com", "www.baincapitalventures.com")</f>
        <v/>
      </c>
      <c r="H19" s="7" t="inlineStr">
        <is>
          <t>AUM: $8526.6B | Portfolio: 208 companies</t>
        </is>
      </c>
      <c r="I19" s="7" t="inlineStr">
        <is>
          <t>PitchBook</t>
        </is>
      </c>
    </row>
    <row r="20">
      <c r="A20" s="7" t="inlineStr">
        <is>
          <t>MA</t>
        </is>
      </c>
      <c r="B20" t="inlineStr">
        <is>
          <t>US</t>
        </is>
      </c>
      <c r="C20" s="7" t="n">
        <v>19</v>
      </c>
      <c r="D20" s="7" t="inlineStr">
        <is>
          <t>Eventide Asset Management</t>
        </is>
      </c>
      <c r="E20" s="7" t="inlineStr">
        <is>
          <t>CLIMATE</t>
        </is>
      </c>
      <c r="F20" s="8" t="inlineStr">
        <is>
          <t>YES</t>
        </is>
      </c>
      <c r="G20" s="7">
        <f>HYPERLINK("http://www.eventideinvestments.com", "www.eventideinvestments.com")</f>
        <v/>
      </c>
      <c r="H20" s="7" t="inlineStr">
        <is>
          <t>AUM: $6290.1B | Portfolio: 15 companies</t>
        </is>
      </c>
      <c r="I20" s="7" t="inlineStr">
        <is>
          <t>PitchBook</t>
        </is>
      </c>
    </row>
    <row r="21">
      <c r="A21" s="7" t="inlineStr">
        <is>
          <t>NY</t>
        </is>
      </c>
      <c r="B21" t="inlineStr">
        <is>
          <t>US</t>
        </is>
      </c>
      <c r="C21" s="7" t="n">
        <v>20</v>
      </c>
      <c r="D21" s="7" t="inlineStr">
        <is>
          <t>Motive Partners</t>
        </is>
      </c>
      <c r="E21" s="7" t="inlineStr">
        <is>
          <t>IND-AI</t>
        </is>
      </c>
      <c r="F21" s="8" t="inlineStr">
        <is>
          <t>YES</t>
        </is>
      </c>
      <c r="G21" s="7">
        <f>HYPERLINK("http://www.motivepartners.com", "www.motivepartners.com")</f>
        <v/>
      </c>
      <c r="H21" s="7" t="inlineStr">
        <is>
          <t>AUM: $5457.0B | Portfolio: 71 companies</t>
        </is>
      </c>
      <c r="I21" s="7" t="inlineStr">
        <is>
          <t>PitchBook</t>
        </is>
      </c>
    </row>
    <row r="22">
      <c r="A22" s="7" t="inlineStr">
        <is>
          <t>Italy</t>
        </is>
      </c>
      <c r="B22" t="inlineStr">
        <is>
          <t>EU</t>
        </is>
      </c>
      <c r="C22" s="7" t="n">
        <v>21</v>
      </c>
      <c r="D22" s="7" t="inlineStr">
        <is>
          <t>CDP Venture Capital (Rome)</t>
        </is>
      </c>
      <c r="E22" s="7" t="inlineStr">
        <is>
          <t>CLIMATE</t>
        </is>
      </c>
      <c r="F22" s="8" t="inlineStr">
        <is>
          <t>YES</t>
        </is>
      </c>
      <c r="G22" s="7">
        <f>HYPERLINK("http://www.cdpventurecapital.it", "www.cdpventurecapital.it")</f>
        <v/>
      </c>
      <c r="H22" s="7" t="inlineStr">
        <is>
          <t>AUM: $4700.0B | Portfolio: 361 companies</t>
        </is>
      </c>
      <c r="I22" s="7" t="inlineStr">
        <is>
          <t>PitchBook</t>
        </is>
      </c>
    </row>
    <row r="23">
      <c r="A23" s="7" t="inlineStr">
        <is>
          <t>Belgium</t>
        </is>
      </c>
      <c r="B23" t="inlineStr">
        <is>
          <t>EU</t>
        </is>
      </c>
      <c r="C23" s="7" t="n">
        <v>22</v>
      </c>
      <c r="D23" s="7" t="inlineStr">
        <is>
          <t>Korys Investments</t>
        </is>
      </c>
      <c r="E23" s="7" t="inlineStr">
        <is>
          <t>CLIMATE</t>
        </is>
      </c>
      <c r="F23" s="8" t="inlineStr">
        <is>
          <t>YES</t>
        </is>
      </c>
      <c r="G23" s="7">
        <f>HYPERLINK("http://www.korys.be", "www.korys.be")</f>
        <v/>
      </c>
      <c r="H23" s="7" t="inlineStr">
        <is>
          <t>AUM: $4500.0B | Portfolio: 38 companies</t>
        </is>
      </c>
      <c r="I23" s="7" t="inlineStr">
        <is>
          <t>PitchBook</t>
        </is>
      </c>
    </row>
    <row r="24">
      <c r="A24" s="7" t="inlineStr">
        <is>
          <t>France</t>
        </is>
      </c>
      <c r="B24" t="inlineStr">
        <is>
          <t>EU</t>
        </is>
      </c>
      <c r="C24" s="7" t="n">
        <v>23</v>
      </c>
      <c r="D24" s="7" t="inlineStr">
        <is>
          <t>Sofinnova Partners</t>
        </is>
      </c>
      <c r="E24" s="7" t="inlineStr">
        <is>
          <t>FOOD</t>
        </is>
      </c>
      <c r="F24" s="8" t="inlineStr">
        <is>
          <t>YES</t>
        </is>
      </c>
      <c r="G24" s="7">
        <f>HYPERLINK("http://www.sofinnovapartners.com", "www.sofinnovapartners.com")</f>
        <v/>
      </c>
      <c r="H24" s="7" t="inlineStr">
        <is>
          <t>AUM: $4000.0B | Portfolio: 108 companies</t>
        </is>
      </c>
      <c r="I24" s="7" t="inlineStr">
        <is>
          <t>PitchBook</t>
        </is>
      </c>
    </row>
    <row r="25">
      <c r="A25" s="7" t="inlineStr">
        <is>
          <t>United Kingdom</t>
        </is>
      </c>
      <c r="B25" t="inlineStr">
        <is>
          <t>EU</t>
        </is>
      </c>
      <c r="C25" s="7" t="n">
        <v>24</v>
      </c>
      <c r="D25" s="7" t="inlineStr">
        <is>
          <t>Atomico</t>
        </is>
      </c>
      <c r="E25" s="7" t="inlineStr">
        <is>
          <t>CLIMATE</t>
        </is>
      </c>
      <c r="F25" s="8" t="inlineStr">
        <is>
          <t>YES</t>
        </is>
      </c>
      <c r="G25" s="7">
        <f>HYPERLINK("http://www.atomico.com", "www.atomico.com")</f>
        <v/>
      </c>
      <c r="H25" s="7" t="inlineStr">
        <is>
          <t>AUM: $3837.0B | Portfolio: 128 companies</t>
        </is>
      </c>
      <c r="I25" s="7" t="inlineStr">
        <is>
          <t>PitchBook</t>
        </is>
      </c>
    </row>
    <row r="26">
      <c r="A26" s="7" t="inlineStr">
        <is>
          <t>FL</t>
        </is>
      </c>
      <c r="B26" t="inlineStr">
        <is>
          <t>US</t>
        </is>
      </c>
      <c r="C26" s="7" t="n">
        <v>25</v>
      </c>
      <c r="D26" s="7" t="inlineStr">
        <is>
          <t>Bling Capital</t>
        </is>
      </c>
      <c r="E26" s="7" t="inlineStr">
        <is>
          <t>IND-AI</t>
        </is>
      </c>
      <c r="F26" s="8" t="inlineStr">
        <is>
          <t>YES</t>
        </is>
      </c>
      <c r="G26" s="7">
        <f>HYPERLINK("http://www.blingcap.com", "www.blingcap.com")</f>
        <v/>
      </c>
      <c r="H26" s="7" t="inlineStr">
        <is>
          <t>AUM: $3410.6B | Portfolio: 122 companies</t>
        </is>
      </c>
      <c r="I26" s="7" t="inlineStr">
        <is>
          <t>PitchBook</t>
        </is>
      </c>
    </row>
    <row r="27">
      <c r="A27" s="7" t="inlineStr">
        <is>
          <t>United Kingdom</t>
        </is>
      </c>
      <c r="B27" t="inlineStr">
        <is>
          <t>EU</t>
        </is>
      </c>
      <c r="C27" s="7" t="n">
        <v>26</v>
      </c>
      <c r="D27" s="7" t="inlineStr">
        <is>
          <t>Triple Point</t>
        </is>
      </c>
      <c r="E27" s="7" t="inlineStr">
        <is>
          <t>CLIMATE</t>
        </is>
      </c>
      <c r="F27" s="8" t="inlineStr">
        <is>
          <t>YES</t>
        </is>
      </c>
      <c r="G27" s="7">
        <f>HYPERLINK("http://www.triplepoint.co.uk", "www.triplepoint.co.uk")</f>
        <v/>
      </c>
      <c r="H27" s="7" t="inlineStr">
        <is>
          <t>AUM: $2880.5B | Portfolio: 76 companies</t>
        </is>
      </c>
      <c r="I27" s="7" t="inlineStr">
        <is>
          <t>PitchBook</t>
        </is>
      </c>
    </row>
    <row r="28">
      <c r="A28" s="7" t="inlineStr">
        <is>
          <t>CA</t>
        </is>
      </c>
      <c r="B28" t="inlineStr">
        <is>
          <t>US</t>
        </is>
      </c>
      <c r="C28" s="7" t="n">
        <v>27</v>
      </c>
      <c r="D28" s="7" t="inlineStr">
        <is>
          <t>Y Combinator</t>
        </is>
      </c>
      <c r="E28" s="7" t="inlineStr">
        <is>
          <t>IND-AI</t>
        </is>
      </c>
      <c r="F28" s="8" t="inlineStr">
        <is>
          <t>YES</t>
        </is>
      </c>
      <c r="G28" s="7">
        <f>HYPERLINK("http://www.ycombinator.com", "www.ycombinator.com")</f>
        <v/>
      </c>
      <c r="H28" s="7" t="inlineStr">
        <is>
          <t>AUM: $2728.5B | Portfolio: 4185 companies</t>
        </is>
      </c>
      <c r="I28" s="7" t="inlineStr">
        <is>
          <t>PitchBook</t>
        </is>
      </c>
    </row>
    <row r="29">
      <c r="A29" s="7" t="inlineStr">
        <is>
          <t>CA</t>
        </is>
      </c>
      <c r="B29" t="inlineStr">
        <is>
          <t>US</t>
        </is>
      </c>
      <c r="C29" s="7" t="n">
        <v>28</v>
      </c>
      <c r="D29" s="7" t="inlineStr">
        <is>
          <t>First Round Capital</t>
        </is>
      </c>
      <c r="E29" s="7" t="inlineStr">
        <is>
          <t>IND-AI</t>
        </is>
      </c>
      <c r="F29" s="8" t="inlineStr">
        <is>
          <t>YES</t>
        </is>
      </c>
      <c r="G29" s="7">
        <f>HYPERLINK("http://www.firstround.com", "www.firstround.com")</f>
        <v/>
      </c>
      <c r="H29" s="7" t="inlineStr">
        <is>
          <t>AUM: $2558.0B | Portfolio: 226 companies</t>
        </is>
      </c>
      <c r="I29" s="7" t="inlineStr">
        <is>
          <t>PitchBook</t>
        </is>
      </c>
    </row>
    <row r="30">
      <c r="A30" s="7" t="inlineStr">
        <is>
          <t>Saudi Arabia</t>
        </is>
      </c>
      <c r="B30" t="inlineStr">
        <is>
          <t>Other</t>
        </is>
      </c>
      <c r="C30" s="7" t="n">
        <v>29</v>
      </c>
      <c r="D30" s="7" t="inlineStr">
        <is>
          <t>Prosperity7 Ventures</t>
        </is>
      </c>
      <c r="E30" s="7" t="inlineStr">
        <is>
          <t>CLIMATE</t>
        </is>
      </c>
      <c r="F30" s="8" t="inlineStr">
        <is>
          <t>YES</t>
        </is>
      </c>
      <c r="G30" s="7">
        <f>HYPERLINK("http://www.prosperity7vc.com", "www.prosperity7vc.com")</f>
        <v/>
      </c>
      <c r="H30" s="7" t="inlineStr">
        <is>
          <t>AUM: $2558.0B | Portfolio: 66 companies</t>
        </is>
      </c>
      <c r="I30" s="7" t="inlineStr">
        <is>
          <t>PitchBook</t>
        </is>
      </c>
    </row>
    <row r="31">
      <c r="A31" s="7" t="inlineStr">
        <is>
          <t>NY</t>
        </is>
      </c>
      <c r="B31" t="inlineStr">
        <is>
          <t>US</t>
        </is>
      </c>
      <c r="C31" s="7" t="n">
        <v>30</v>
      </c>
      <c r="D31" s="7" t="inlineStr">
        <is>
          <t>Rethink Capital Partners</t>
        </is>
      </c>
      <c r="E31" s="7" t="inlineStr">
        <is>
          <t>FOOD</t>
        </is>
      </c>
      <c r="F31" s="8" t="inlineStr">
        <is>
          <t>YES</t>
        </is>
      </c>
      <c r="G31" s="7">
        <f>HYPERLINK("http://www.rethink-capital.com", "www.rethink-capital.com")</f>
        <v/>
      </c>
      <c r="H31" s="7" t="inlineStr">
        <is>
          <t>AUM: $2558.0B | Portfolio: 78 companies</t>
        </is>
      </c>
      <c r="I31" s="7" t="inlineStr">
        <is>
          <t>PitchBook</t>
        </is>
      </c>
    </row>
    <row r="32">
      <c r="A32" s="7" t="inlineStr">
        <is>
          <t>Japan</t>
        </is>
      </c>
      <c r="B32" t="inlineStr">
        <is>
          <t>JP</t>
        </is>
      </c>
      <c r="C32" s="7" t="n">
        <v>31</v>
      </c>
      <c r="D32" s="7" t="inlineStr">
        <is>
          <t>SBI Investment</t>
        </is>
      </c>
      <c r="E32" s="7" t="inlineStr">
        <is>
          <t>CLIMATE</t>
        </is>
      </c>
      <c r="F32" s="8" t="inlineStr">
        <is>
          <t>YES</t>
        </is>
      </c>
      <c r="G32" s="7">
        <f>HYPERLINK("http://www.sbinvestment.co.jp", "www.sbinvestment.co.jp")</f>
        <v/>
      </c>
      <c r="H32" s="7" t="inlineStr">
        <is>
          <t>AUM: $2558.0B | Portfolio: 385 companies</t>
        </is>
      </c>
      <c r="I32" s="7" t="inlineStr">
        <is>
          <t>PitchBook</t>
        </is>
      </c>
    </row>
    <row r="33">
      <c r="A33" s="7" t="inlineStr">
        <is>
          <t>China</t>
        </is>
      </c>
      <c r="B33" t="inlineStr">
        <is>
          <t>Other</t>
        </is>
      </c>
      <c r="C33" s="7" t="n">
        <v>32</v>
      </c>
      <c r="D33" s="7" t="inlineStr">
        <is>
          <t>Sinovation Ventures</t>
        </is>
      </c>
      <c r="E33" s="7" t="inlineStr">
        <is>
          <t>CLIMATE</t>
        </is>
      </c>
      <c r="F33" s="8" t="inlineStr">
        <is>
          <t>YES</t>
        </is>
      </c>
      <c r="G33" s="7">
        <f>HYPERLINK("http://www.sinovationventures.com", "www.sinovationventures.com")</f>
        <v/>
      </c>
      <c r="H33" s="7" t="inlineStr">
        <is>
          <t>AUM: $2558.0B | Portfolio: 297 companies</t>
        </is>
      </c>
      <c r="I33" s="7" t="inlineStr">
        <is>
          <t>PitchBook</t>
        </is>
      </c>
    </row>
    <row r="34">
      <c r="A34" s="7" t="inlineStr">
        <is>
          <t>Germany</t>
        </is>
      </c>
      <c r="B34" t="inlineStr">
        <is>
          <t>EU</t>
        </is>
      </c>
      <c r="C34" s="7" t="n">
        <v>33</v>
      </c>
      <c r="D34" s="7" t="inlineStr">
        <is>
          <t>Earlybird Venture Capital</t>
        </is>
      </c>
      <c r="E34" s="7" t="inlineStr">
        <is>
          <t>CLIMATE</t>
        </is>
      </c>
      <c r="F34" s="8" t="inlineStr">
        <is>
          <t>YES</t>
        </is>
      </c>
      <c r="G34" s="7">
        <f>HYPERLINK("http://www.earlybird.com", "www.earlybird.com")</f>
        <v/>
      </c>
      <c r="H34" s="7" t="inlineStr">
        <is>
          <t>AUM: $2500.0B | Portfolio: 141 companies</t>
        </is>
      </c>
      <c r="I34" s="7" t="inlineStr">
        <is>
          <t>PitchBook</t>
        </is>
      </c>
    </row>
    <row r="35">
      <c r="A35" s="7" t="inlineStr">
        <is>
          <t>Spain</t>
        </is>
      </c>
      <c r="B35" t="inlineStr">
        <is>
          <t>EU</t>
        </is>
      </c>
      <c r="C35" s="7" t="n">
        <v>34</v>
      </c>
      <c r="D35" s="7" t="inlineStr">
        <is>
          <t>Inveready Asset Management</t>
        </is>
      </c>
      <c r="E35" s="7" t="inlineStr">
        <is>
          <t>CLIMATE</t>
        </is>
      </c>
      <c r="F35" s="8" t="inlineStr">
        <is>
          <t>YES</t>
        </is>
      </c>
      <c r="G35" s="7">
        <f>HYPERLINK("http://inveready.com", "inveready.com")</f>
        <v/>
      </c>
      <c r="H35" s="7" t="inlineStr">
        <is>
          <t>AUM: $2500.0B | Portfolio: 142 companies</t>
        </is>
      </c>
      <c r="I35" s="7" t="inlineStr">
        <is>
          <t>PitchBook</t>
        </is>
      </c>
    </row>
    <row r="36">
      <c r="A36" s="7" t="inlineStr">
        <is>
          <t>France</t>
        </is>
      </c>
      <c r="B36" t="inlineStr">
        <is>
          <t>EU</t>
        </is>
      </c>
      <c r="C36" s="7" t="n">
        <v>35</v>
      </c>
      <c r="D36" s="7" t="inlineStr">
        <is>
          <t>LBO France</t>
        </is>
      </c>
      <c r="E36" s="7" t="inlineStr">
        <is>
          <t>CLIMATE</t>
        </is>
      </c>
      <c r="F36" s="8" t="inlineStr">
        <is>
          <t>YES</t>
        </is>
      </c>
      <c r="G36" s="7">
        <f>HYPERLINK("http://www.lbofrance.com", "www.lbofrance.com")</f>
        <v/>
      </c>
      <c r="H36" s="7" t="inlineStr">
        <is>
          <t>AUM: $2500.0B | Portfolio: 49 companies</t>
        </is>
      </c>
      <c r="I36" s="7" t="inlineStr">
        <is>
          <t>PitchBook</t>
        </is>
      </c>
    </row>
    <row r="37">
      <c r="A37" s="7" t="inlineStr">
        <is>
          <t>Spain</t>
        </is>
      </c>
      <c r="B37" t="inlineStr">
        <is>
          <t>EU</t>
        </is>
      </c>
      <c r="C37" s="7" t="n">
        <v>36</v>
      </c>
      <c r="D37" s="7" t="inlineStr">
        <is>
          <t>Sancus Capital Partners</t>
        </is>
      </c>
      <c r="E37" s="7" t="inlineStr">
        <is>
          <t>CLIMATE</t>
        </is>
      </c>
      <c r="F37" s="8" t="inlineStr">
        <is>
          <t>YES</t>
        </is>
      </c>
      <c r="G37" s="7">
        <f>HYPERLINK("http://www.sancuscapital.es", "www.sancuscapital.es")</f>
        <v/>
      </c>
      <c r="H37" s="7" t="inlineStr">
        <is>
          <t>AUM: $2500.0B | Portfolio: 15 companies</t>
        </is>
      </c>
      <c r="I37" s="7" t="inlineStr">
        <is>
          <t>PitchBook</t>
        </is>
      </c>
    </row>
    <row r="38">
      <c r="A38" s="7" t="inlineStr">
        <is>
          <t>CA</t>
        </is>
      </c>
      <c r="B38" t="inlineStr">
        <is>
          <t>US</t>
        </is>
      </c>
      <c r="C38" s="7" t="n">
        <v>37</v>
      </c>
      <c r="D38" s="7" t="inlineStr">
        <is>
          <t>Venrock</t>
        </is>
      </c>
      <c r="E38" s="7" t="inlineStr">
        <is>
          <t>IND-AI</t>
        </is>
      </c>
      <c r="F38" s="8" t="inlineStr">
        <is>
          <t>YES</t>
        </is>
      </c>
      <c r="G38" s="7">
        <f>HYPERLINK("http://www.venrock.com", "www.venrock.com")</f>
        <v/>
      </c>
      <c r="H38" s="7" t="inlineStr">
        <is>
          <t>AUM: $2465.5B | Portfolio: 124 companies</t>
        </is>
      </c>
      <c r="I38" s="7" t="inlineStr">
        <is>
          <t>PitchBook</t>
        </is>
      </c>
    </row>
    <row r="39">
      <c r="A39" s="7" t="inlineStr">
        <is>
          <t>South Korea</t>
        </is>
      </c>
      <c r="B39" t="inlineStr">
        <is>
          <t>Other</t>
        </is>
      </c>
      <c r="C39" s="7" t="n">
        <v>38</v>
      </c>
      <c r="D39" s="7" t="inlineStr">
        <is>
          <t>Samsung Venture Investment</t>
        </is>
      </c>
      <c r="E39" s="7" t="inlineStr">
        <is>
          <t>CLIMATE</t>
        </is>
      </c>
      <c r="F39" s="8" t="inlineStr">
        <is>
          <t>YES</t>
        </is>
      </c>
      <c r="G39" s="7">
        <f>HYPERLINK("http://samsungventure.co.kr", "samsungventure.co.kr")</f>
        <v/>
      </c>
      <c r="H39" s="7" t="inlineStr">
        <is>
          <t>AUM: $2424.3B | Portfolio: 287 companies</t>
        </is>
      </c>
      <c r="I39" s="7" t="inlineStr">
        <is>
          <t>PitchBook</t>
        </is>
      </c>
    </row>
    <row r="40">
      <c r="A40" s="7" t="inlineStr">
        <is>
          <t>Japan</t>
        </is>
      </c>
      <c r="B40" t="inlineStr">
        <is>
          <t>JP</t>
        </is>
      </c>
      <c r="C40" s="7" t="n">
        <v>39</v>
      </c>
      <c r="D40" s="7" t="inlineStr">
        <is>
          <t>Global Brain</t>
        </is>
      </c>
      <c r="E40" s="7" t="inlineStr">
        <is>
          <t>CLIMATE</t>
        </is>
      </c>
      <c r="F40" s="8" t="inlineStr">
        <is>
          <t>YES</t>
        </is>
      </c>
      <c r="G40" s="7">
        <f>HYPERLINK("http://www.globalbrains.com", "www.globalbrains.com")</f>
        <v/>
      </c>
      <c r="H40" s="7" t="inlineStr">
        <is>
          <t>AUM: $2302.2B | Portfolio: 428 companies</t>
        </is>
      </c>
      <c r="I40" s="7" t="inlineStr">
        <is>
          <t>PitchBook</t>
        </is>
      </c>
    </row>
    <row r="41">
      <c r="A41" s="7" t="inlineStr">
        <is>
          <t>Israel</t>
        </is>
      </c>
      <c r="B41" t="inlineStr">
        <is>
          <t>Other</t>
        </is>
      </c>
      <c r="C41" s="7" t="n">
        <v>40</v>
      </c>
      <c r="D41" s="7" t="inlineStr">
        <is>
          <t>OurCrowd</t>
        </is>
      </c>
      <c r="E41" s="7" t="inlineStr">
        <is>
          <t>CLIMATE</t>
        </is>
      </c>
      <c r="F41" s="8" t="inlineStr">
        <is>
          <t>YES</t>
        </is>
      </c>
      <c r="G41" s="7">
        <f>HYPERLINK("http://www.ourcrowd.com", "www.ourcrowd.com")</f>
        <v/>
      </c>
      <c r="H41" s="7" t="inlineStr">
        <is>
          <t>AUM: $2216.9B | Portfolio: 234 companies</t>
        </is>
      </c>
      <c r="I41" s="7" t="inlineStr">
        <is>
          <t>PitchBook</t>
        </is>
      </c>
    </row>
    <row r="42">
      <c r="A42" s="7" t="inlineStr">
        <is>
          <t>United Kingdom</t>
        </is>
      </c>
      <c r="B42" t="inlineStr">
        <is>
          <t>EU</t>
        </is>
      </c>
      <c r="C42" s="7" t="n">
        <v>41</v>
      </c>
      <c r="D42" s="7" t="inlineStr">
        <is>
          <t>Octopus Ventures</t>
        </is>
      </c>
      <c r="E42" s="7" t="inlineStr">
        <is>
          <t>CLIMATE</t>
        </is>
      </c>
      <c r="F42" s="8" t="inlineStr">
        <is>
          <t>YES</t>
        </is>
      </c>
      <c r="G42" s="7">
        <f>HYPERLINK("http://www.octopusventures.com", "www.octopusventures.com")</f>
        <v/>
      </c>
      <c r="H42" s="7" t="inlineStr">
        <is>
          <t>AUM: $2189.2B | Portfolio: 214 companies</t>
        </is>
      </c>
      <c r="I42" s="7" t="inlineStr">
        <is>
          <t>PitchBook</t>
        </is>
      </c>
    </row>
    <row r="43">
      <c r="A43" s="7" t="inlineStr">
        <is>
          <t>CA</t>
        </is>
      </c>
      <c r="B43" t="inlineStr">
        <is>
          <t>US</t>
        </is>
      </c>
      <c r="C43" s="7" t="n">
        <v>42</v>
      </c>
      <c r="D43" s="7" t="inlineStr">
        <is>
          <t>Cathay Innovation</t>
        </is>
      </c>
      <c r="E43" s="7" t="inlineStr">
        <is>
          <t>CLIMATE</t>
        </is>
      </c>
      <c r="F43" s="8" t="inlineStr">
        <is>
          <t>YES</t>
        </is>
      </c>
      <c r="G43" s="7">
        <f>HYPERLINK("http://www.cathayinnovation.com", "www.cathayinnovation.com")</f>
        <v/>
      </c>
      <c r="H43" s="7" t="inlineStr">
        <is>
          <t>AUM: $2131.7B | Portfolio: 116 companies</t>
        </is>
      </c>
      <c r="I43" s="7" t="inlineStr">
        <is>
          <t>PitchBook</t>
        </is>
      </c>
    </row>
    <row r="44">
      <c r="A44" s="7" t="inlineStr">
        <is>
          <t>IL</t>
        </is>
      </c>
      <c r="B44" t="inlineStr">
        <is>
          <t>Other</t>
        </is>
      </c>
      <c r="C44" s="7" t="n">
        <v>43</v>
      </c>
      <c r="D44" s="7" t="inlineStr">
        <is>
          <t>S2G Investments</t>
        </is>
      </c>
      <c r="E44" s="7" t="inlineStr">
        <is>
          <t>CLIMATE</t>
        </is>
      </c>
      <c r="F44" s="8" t="inlineStr">
        <is>
          <t>YES</t>
        </is>
      </c>
      <c r="G44" s="7">
        <f>HYPERLINK("http://www.s2ginvestments.com", "www.s2ginvestments.com")</f>
        <v/>
      </c>
      <c r="H44" s="7" t="inlineStr">
        <is>
          <t>AUM: $2131.7B | Portfolio: 106 companies</t>
        </is>
      </c>
      <c r="I44" s="7" t="inlineStr">
        <is>
          <t>PitchBook</t>
        </is>
      </c>
    </row>
    <row r="45">
      <c r="A45" s="7" t="inlineStr">
        <is>
          <t>Sweden</t>
        </is>
      </c>
      <c r="B45" t="inlineStr">
        <is>
          <t>EU</t>
        </is>
      </c>
      <c r="C45" s="7" t="n">
        <v>44</v>
      </c>
      <c r="D45" s="7" t="inlineStr">
        <is>
          <t>Creandum</t>
        </is>
      </c>
      <c r="E45" s="7" t="inlineStr">
        <is>
          <t>CLIMATE</t>
        </is>
      </c>
      <c r="F45" s="8" t="inlineStr">
        <is>
          <t>YES</t>
        </is>
      </c>
      <c r="G45" s="7">
        <f>HYPERLINK("http://www.creandum.com", "www.creandum.com")</f>
        <v/>
      </c>
      <c r="H45" s="7" t="inlineStr">
        <is>
          <t>AUM: $2000.0B | Portfolio: 101 companies</t>
        </is>
      </c>
      <c r="I45" s="7" t="inlineStr">
        <is>
          <t>PitchBook</t>
        </is>
      </c>
    </row>
    <row r="46">
      <c r="A46" s="7" t="inlineStr">
        <is>
          <t>Germany</t>
        </is>
      </c>
      <c r="B46" t="inlineStr">
        <is>
          <t>EU</t>
        </is>
      </c>
      <c r="C46" s="7" t="n">
        <v>45</v>
      </c>
      <c r="D46" s="7" t="inlineStr">
        <is>
          <t>High-Tech Gründerfonds</t>
        </is>
      </c>
      <c r="E46" s="7" t="inlineStr">
        <is>
          <t>CLIMATE</t>
        </is>
      </c>
      <c r="F46" s="8" t="inlineStr">
        <is>
          <t>YES</t>
        </is>
      </c>
      <c r="G46" s="7">
        <f>HYPERLINK("http://www.htgf.de", "www.htgf.de")</f>
        <v/>
      </c>
      <c r="H46" s="7" t="inlineStr">
        <is>
          <t>AUM: $2000.0B | Portfolio: 371 companies</t>
        </is>
      </c>
      <c r="I46" s="7" t="inlineStr">
        <is>
          <t>PitchBook</t>
        </is>
      </c>
    </row>
    <row r="47">
      <c r="A47" s="7" t="inlineStr">
        <is>
          <t>India</t>
        </is>
      </c>
      <c r="B47" t="inlineStr">
        <is>
          <t>Other</t>
        </is>
      </c>
      <c r="C47" s="7" t="n">
        <v>46</v>
      </c>
      <c r="D47" s="7" t="inlineStr">
        <is>
          <t>Elevation Capital (India)</t>
        </is>
      </c>
      <c r="E47" s="7" t="inlineStr">
        <is>
          <t>IND-AI</t>
        </is>
      </c>
      <c r="F47" s="8" t="inlineStr">
        <is>
          <t>YES</t>
        </is>
      </c>
      <c r="G47" s="7">
        <f>HYPERLINK("http://www.elevationcapital.com", "www.elevationcapital.com")</f>
        <v/>
      </c>
      <c r="H47" s="7" t="inlineStr">
        <is>
          <t>AUM: $1705.3B | Portfolio: 130 companies</t>
        </is>
      </c>
      <c r="I47" s="7" t="inlineStr">
        <is>
          <t>PitchBook</t>
        </is>
      </c>
    </row>
    <row r="48">
      <c r="A48" s="7" t="inlineStr">
        <is>
          <t>CA</t>
        </is>
      </c>
      <c r="B48" t="inlineStr">
        <is>
          <t>US</t>
        </is>
      </c>
      <c r="C48" s="7" t="n">
        <v>47</v>
      </c>
      <c r="D48" s="7" t="inlineStr">
        <is>
          <t>Innovation Endeavors</t>
        </is>
      </c>
      <c r="E48" s="7" t="inlineStr">
        <is>
          <t>FOOD</t>
        </is>
      </c>
      <c r="F48" s="8" t="inlineStr">
        <is>
          <t>YES</t>
        </is>
      </c>
      <c r="G48" s="7">
        <f>HYPERLINK("http://www.innovationendeavors.com", "www.innovationendeavors.com")</f>
        <v/>
      </c>
      <c r="H48" s="7" t="inlineStr">
        <is>
          <t>AUM: $1705.3B | Portfolio: 99 companies</t>
        </is>
      </c>
      <c r="I48" s="7" t="inlineStr">
        <is>
          <t>PitchBook</t>
        </is>
      </c>
    </row>
    <row r="49">
      <c r="A49" s="7" t="inlineStr">
        <is>
          <t>CA</t>
        </is>
      </c>
      <c r="B49" t="inlineStr">
        <is>
          <t>US</t>
        </is>
      </c>
      <c r="C49" s="7" t="n">
        <v>48</v>
      </c>
      <c r="D49" s="7" t="inlineStr">
        <is>
          <t>Pegasus Tech Ventures</t>
        </is>
      </c>
      <c r="E49" s="7" t="inlineStr">
        <is>
          <t>IND-AI</t>
        </is>
      </c>
      <c r="F49" s="8" t="inlineStr">
        <is>
          <t>YES</t>
        </is>
      </c>
      <c r="G49" s="7">
        <f>HYPERLINK("http://www.pegasustechventures.com", "www.pegasustechventures.com")</f>
        <v/>
      </c>
      <c r="H49" s="7" t="inlineStr">
        <is>
          <t>AUM: $1705.3B | Portfolio: 158 companies</t>
        </is>
      </c>
      <c r="I49" s="7" t="inlineStr">
        <is>
          <t>PitchBook</t>
        </is>
      </c>
    </row>
    <row r="50">
      <c r="A50" s="7" t="inlineStr">
        <is>
          <t>CA</t>
        </is>
      </c>
      <c r="B50" t="inlineStr">
        <is>
          <t>US</t>
        </is>
      </c>
      <c r="C50" s="7" t="n">
        <v>49</v>
      </c>
      <c r="D50" s="7" t="inlineStr">
        <is>
          <t>Prelude Ventures</t>
        </is>
      </c>
      <c r="E50" s="7" t="inlineStr">
        <is>
          <t>CLIMATE</t>
        </is>
      </c>
      <c r="F50" s="8" t="inlineStr">
        <is>
          <t>YES</t>
        </is>
      </c>
      <c r="G50" s="7">
        <f>HYPERLINK("http://www.preludeventures.com", "www.preludeventures.com")</f>
        <v/>
      </c>
      <c r="H50" s="7" t="inlineStr">
        <is>
          <t>AUM: $1705.3B | Portfolio: 60 companies</t>
        </is>
      </c>
      <c r="I50" s="7" t="inlineStr">
        <is>
          <t>PitchBook</t>
        </is>
      </c>
    </row>
    <row r="51">
      <c r="A51" s="7" t="inlineStr">
        <is>
          <t>AZ</t>
        </is>
      </c>
      <c r="B51" t="inlineStr">
        <is>
          <t>US</t>
        </is>
      </c>
      <c r="C51" s="7" t="n">
        <v>50</v>
      </c>
      <c r="D51" s="7" t="inlineStr">
        <is>
          <t>Singularity Capital</t>
        </is>
      </c>
      <c r="E51" s="7" t="inlineStr">
        <is>
          <t>IND-AI</t>
        </is>
      </c>
      <c r="F51" s="8" t="inlineStr">
        <is>
          <t>YES</t>
        </is>
      </c>
      <c r="G51" s="7">
        <f>HYPERLINK("http://singularitycapital.us", "singularitycapital.us")</f>
        <v/>
      </c>
      <c r="H51" s="7" t="inlineStr">
        <is>
          <t>AUM: $1705.3B | Portfolio: 95 companies</t>
        </is>
      </c>
      <c r="I51" s="7" t="inlineStr">
        <is>
          <t>PitchBook</t>
        </is>
      </c>
    </row>
    <row r="52">
      <c r="A52" s="7" t="inlineStr">
        <is>
          <t>Italy</t>
        </is>
      </c>
      <c r="B52" t="inlineStr">
        <is>
          <t>EU</t>
        </is>
      </c>
      <c r="C52" s="7" t="n">
        <v>51</v>
      </c>
      <c r="D52" s="7" t="inlineStr">
        <is>
          <t>Azimut Libera Impresa</t>
        </is>
      </c>
      <c r="E52" s="7" t="inlineStr">
        <is>
          <t>CLIMATE</t>
        </is>
      </c>
      <c r="F52" s="8" t="inlineStr">
        <is>
          <t>YES</t>
        </is>
      </c>
      <c r="G52" s="7">
        <f>HYPERLINK("http://www.azimutliberaimpresa.it", "www.azimutliberaimpresa.it")</f>
        <v/>
      </c>
      <c r="H52" s="7" t="inlineStr">
        <is>
          <t>AUM: $1700.0B | Portfolio: 71 companies</t>
        </is>
      </c>
      <c r="I52" s="7" t="inlineStr">
        <is>
          <t>PitchBook</t>
        </is>
      </c>
    </row>
    <row r="53">
      <c r="A53" s="7" t="inlineStr">
        <is>
          <t>France</t>
        </is>
      </c>
      <c r="B53" t="inlineStr">
        <is>
          <t>EU</t>
        </is>
      </c>
      <c r="C53" s="7" t="n">
        <v>52</v>
      </c>
      <c r="D53" s="7" t="inlineStr">
        <is>
          <t>UI Investissement</t>
        </is>
      </c>
      <c r="E53" s="7" t="inlineStr">
        <is>
          <t>CLIMATE</t>
        </is>
      </c>
      <c r="F53" s="8" t="inlineStr">
        <is>
          <t>YES</t>
        </is>
      </c>
      <c r="G53" s="7">
        <f>HYPERLINK("http://www.ui-investissement.com", "www.ui-investissement.com")</f>
        <v/>
      </c>
      <c r="H53" s="7" t="inlineStr">
        <is>
          <t>AUM: $1700.0B | Portfolio: 257 companies</t>
        </is>
      </c>
      <c r="I53" s="7" t="inlineStr">
        <is>
          <t>PitchBook</t>
        </is>
      </c>
    </row>
    <row r="54">
      <c r="A54" s="7" t="inlineStr">
        <is>
          <t>NY</t>
        </is>
      </c>
      <c r="B54" t="inlineStr">
        <is>
          <t>US</t>
        </is>
      </c>
      <c r="C54" s="7" t="n">
        <v>53</v>
      </c>
      <c r="D54" s="7" t="inlineStr">
        <is>
          <t>Aligned Climate Capital</t>
        </is>
      </c>
      <c r="E54" s="7" t="inlineStr">
        <is>
          <t>CLIMATE</t>
        </is>
      </c>
      <c r="F54" s="8" t="inlineStr">
        <is>
          <t>YES</t>
        </is>
      </c>
      <c r="G54" s="7">
        <f>HYPERLINK("http://www.alignedclimatecapital.com", "www.alignedclimatecapital.com")</f>
        <v/>
      </c>
      <c r="H54" s="7" t="inlineStr">
        <is>
          <t>AUM: $1510.1B | Portfolio: 15 companies</t>
        </is>
      </c>
      <c r="I54" s="7" t="inlineStr">
        <is>
          <t>PitchBook</t>
        </is>
      </c>
    </row>
    <row r="55">
      <c r="A55" s="7" t="inlineStr">
        <is>
          <t>France</t>
        </is>
      </c>
      <c r="B55" t="inlineStr">
        <is>
          <t>EU</t>
        </is>
      </c>
      <c r="C55" s="7" t="n">
        <v>54</v>
      </c>
      <c r="D55" s="7" t="inlineStr">
        <is>
          <t>Innovacom (Paris)</t>
        </is>
      </c>
      <c r="E55" s="7" t="inlineStr">
        <is>
          <t>CLIMATE</t>
        </is>
      </c>
      <c r="F55" s="8" t="inlineStr">
        <is>
          <t>YES</t>
        </is>
      </c>
      <c r="G55" s="7">
        <f>HYPERLINK("http://www.innovacom.com", "www.innovacom.com")</f>
        <v/>
      </c>
      <c r="H55" s="7" t="inlineStr">
        <is>
          <t>AUM: $1500.0B | Portfolio: 39 companies</t>
        </is>
      </c>
      <c r="I55" s="7" t="inlineStr">
        <is>
          <t>PitchBook</t>
        </is>
      </c>
    </row>
    <row r="56">
      <c r="A56" s="7" t="inlineStr">
        <is>
          <t>MA</t>
        </is>
      </c>
      <c r="B56" t="inlineStr">
        <is>
          <t>US</t>
        </is>
      </c>
      <c r="C56" s="7" t="n">
        <v>55</v>
      </c>
      <c r="D56" s="7" t="inlineStr">
        <is>
          <t>Volition Capital</t>
        </is>
      </c>
      <c r="E56" s="7" t="inlineStr">
        <is>
          <t>IND-AI</t>
        </is>
      </c>
      <c r="F56" s="8" t="inlineStr">
        <is>
          <t>YES</t>
        </is>
      </c>
      <c r="G56" s="7">
        <f>HYPERLINK("http://www.volitioncapital.com", "www.volitioncapital.com")</f>
        <v/>
      </c>
      <c r="H56" s="7" t="inlineStr">
        <is>
          <t>AUM: $1449.5B | Portfolio: 44 companies</t>
        </is>
      </c>
      <c r="I56" s="7" t="inlineStr">
        <is>
          <t>PitchBook</t>
        </is>
      </c>
    </row>
    <row r="57">
      <c r="A57" s="7" t="inlineStr">
        <is>
          <t>Japan</t>
        </is>
      </c>
      <c r="B57" t="inlineStr">
        <is>
          <t>JP</t>
        </is>
      </c>
      <c r="C57" s="7" t="n">
        <v>56</v>
      </c>
      <c r="D57" s="7" t="inlineStr">
        <is>
          <t>Woven Capital</t>
        </is>
      </c>
      <c r="E57" s="7" t="inlineStr">
        <is>
          <t>CLIMATE</t>
        </is>
      </c>
      <c r="F57" s="8" t="inlineStr">
        <is>
          <t>YES</t>
        </is>
      </c>
      <c r="G57" s="7">
        <f>HYPERLINK("http://www.woven.vc", "www.woven.vc")</f>
        <v/>
      </c>
      <c r="H57" s="7" t="inlineStr">
        <is>
          <t>AUM: $1364.2B | Portfolio: 19 companies</t>
        </is>
      </c>
      <c r="I57" s="7" t="inlineStr">
        <is>
          <t>PitchBook</t>
        </is>
      </c>
    </row>
    <row r="58">
      <c r="A58" s="7" t="inlineStr">
        <is>
          <t>Singapore</t>
        </is>
      </c>
      <c r="B58" t="inlineStr">
        <is>
          <t>Other</t>
        </is>
      </c>
      <c r="C58" s="7" t="n">
        <v>57</v>
      </c>
      <c r="D58" s="7" t="inlineStr">
        <is>
          <t>UOB Venture Management</t>
        </is>
      </c>
      <c r="E58" s="7" t="inlineStr">
        <is>
          <t>CLIMATE</t>
        </is>
      </c>
      <c r="F58" s="8" t="inlineStr">
        <is>
          <t>YES</t>
        </is>
      </c>
      <c r="G58" s="7">
        <f>HYPERLINK("http://www.uobvm.com.sg", "www.uobvm.com.sg")</f>
        <v/>
      </c>
      <c r="H58" s="7" t="inlineStr">
        <is>
          <t>AUM: $1338.3B | Portfolio: 87 companies</t>
        </is>
      </c>
      <c r="I58" s="7" t="inlineStr">
        <is>
          <t>PitchBook</t>
        </is>
      </c>
    </row>
    <row r="59">
      <c r="A59" s="7" t="inlineStr">
        <is>
          <t>MN</t>
        </is>
      </c>
      <c r="B59" t="inlineStr">
        <is>
          <t>US</t>
        </is>
      </c>
      <c r="C59" s="7" t="n">
        <v>58</v>
      </c>
      <c r="D59" s="7" t="inlineStr">
        <is>
          <t>Arthur Ventures</t>
        </is>
      </c>
      <c r="E59" s="7" t="inlineStr">
        <is>
          <t>IND-AI</t>
        </is>
      </c>
      <c r="F59" s="8" t="inlineStr">
        <is>
          <t>YES</t>
        </is>
      </c>
      <c r="G59" s="7">
        <f>HYPERLINK("http://www.arthurventures.com", "www.arthurventures.com")</f>
        <v/>
      </c>
      <c r="H59" s="7" t="inlineStr">
        <is>
          <t>AUM: $1320.8B | Portfolio: 57 companies</t>
        </is>
      </c>
      <c r="I59" s="7" t="inlineStr">
        <is>
          <t>PitchBook</t>
        </is>
      </c>
    </row>
    <row r="60">
      <c r="A60" s="7" t="inlineStr">
        <is>
          <t>France</t>
        </is>
      </c>
      <c r="B60" t="inlineStr">
        <is>
          <t>EU</t>
        </is>
      </c>
      <c r="C60" s="7" t="n">
        <v>59</v>
      </c>
      <c r="D60" s="7" t="inlineStr">
        <is>
          <t>Demea Sustainable Investment</t>
        </is>
      </c>
      <c r="E60" s="7" t="inlineStr">
        <is>
          <t>CLIMATE</t>
        </is>
      </c>
      <c r="F60" s="8" t="inlineStr">
        <is>
          <t>YES</t>
        </is>
      </c>
      <c r="G60" s="7">
        <f>HYPERLINK("http://demea-si.com", "demea-si.com")</f>
        <v/>
      </c>
      <c r="H60" s="7" t="inlineStr">
        <is>
          <t>AUM: $1300.0B | Portfolio: 108 companies</t>
        </is>
      </c>
      <c r="I60" s="7" t="inlineStr">
        <is>
          <t>PitchBook</t>
        </is>
      </c>
    </row>
    <row r="61">
      <c r="A61" s="7" t="inlineStr">
        <is>
          <t>Germany</t>
        </is>
      </c>
      <c r="B61" t="inlineStr">
        <is>
          <t>EU</t>
        </is>
      </c>
      <c r="C61" s="7" t="n">
        <v>60</v>
      </c>
      <c r="D61" s="7" t="inlineStr">
        <is>
          <t>MIG AG</t>
        </is>
      </c>
      <c r="E61" s="7" t="inlineStr">
        <is>
          <t>CHEM</t>
        </is>
      </c>
      <c r="F61" s="8" t="inlineStr">
        <is>
          <t>YES</t>
        </is>
      </c>
      <c r="G61" s="7">
        <f>HYPERLINK("http://www.mig.ag/en", "www.mig.ag/en")</f>
        <v/>
      </c>
      <c r="H61" s="7" t="inlineStr">
        <is>
          <t>AUM: $1300.0B | Portfolio: 29 companies</t>
        </is>
      </c>
      <c r="I61" s="7" t="inlineStr">
        <is>
          <t>PitchBook</t>
        </is>
      </c>
    </row>
    <row r="62">
      <c r="A62" s="7" t="inlineStr">
        <is>
          <t>NH</t>
        </is>
      </c>
      <c r="B62" t="inlineStr">
        <is>
          <t>US</t>
        </is>
      </c>
      <c r="C62" s="7" t="n">
        <v>61</v>
      </c>
      <c r="D62" s="7" t="inlineStr">
        <is>
          <t>Alumni Ventures</t>
        </is>
      </c>
      <c r="E62" s="7" t="inlineStr">
        <is>
          <t>CLIMATE</t>
        </is>
      </c>
      <c r="F62" s="8" t="inlineStr">
        <is>
          <t>YES</t>
        </is>
      </c>
      <c r="G62" s="7">
        <f>HYPERLINK("http://www.av.vc", "www.av.vc")</f>
        <v/>
      </c>
      <c r="H62" s="7" t="inlineStr">
        <is>
          <t>AUM: $1279.0B | Portfolio: 1290 companies</t>
        </is>
      </c>
      <c r="I62" s="7" t="inlineStr">
        <is>
          <t>PitchBook</t>
        </is>
      </c>
    </row>
    <row r="63">
      <c r="A63" s="7" t="inlineStr">
        <is>
          <t>CA</t>
        </is>
      </c>
      <c r="B63" t="inlineStr">
        <is>
          <t>US</t>
        </is>
      </c>
      <c r="C63" s="7" t="n">
        <v>62</v>
      </c>
      <c r="D63" s="7" t="inlineStr">
        <is>
          <t>Obvious Ventures</t>
        </is>
      </c>
      <c r="E63" s="7" t="inlineStr">
        <is>
          <t>CLIMATE</t>
        </is>
      </c>
      <c r="F63" s="8" t="inlineStr">
        <is>
          <t>YES</t>
        </is>
      </c>
      <c r="G63" s="7">
        <f>HYPERLINK("http://www.obvious.com", "www.obvious.com")</f>
        <v/>
      </c>
      <c r="H63" s="7" t="inlineStr">
        <is>
          <t>AUM: $1279.0B | Portfolio: 79 companies</t>
        </is>
      </c>
      <c r="I63" s="7" t="inlineStr">
        <is>
          <t>PitchBook</t>
        </is>
      </c>
    </row>
    <row r="64">
      <c r="A64" s="7" t="inlineStr">
        <is>
          <t>Spain</t>
        </is>
      </c>
      <c r="B64" t="inlineStr">
        <is>
          <t>EU</t>
        </is>
      </c>
      <c r="C64" s="7" t="n">
        <v>63</v>
      </c>
      <c r="D64" s="7" t="inlineStr">
        <is>
          <t>Suma Capital</t>
        </is>
      </c>
      <c r="E64" s="7" t="inlineStr">
        <is>
          <t>CLIMATE</t>
        </is>
      </c>
      <c r="F64" s="8" t="inlineStr">
        <is>
          <t>YES</t>
        </is>
      </c>
      <c r="G64" s="7">
        <f>HYPERLINK("http://www.sumacapital.com", "www.sumacapital.com")</f>
        <v/>
      </c>
      <c r="H64" s="7" t="inlineStr">
        <is>
          <t>AUM: $1200.0B | Portfolio: 47 companies</t>
        </is>
      </c>
      <c r="I64" s="7" t="inlineStr">
        <is>
          <t>PitchBook</t>
        </is>
      </c>
    </row>
    <row r="65">
      <c r="A65" s="7" t="inlineStr">
        <is>
          <t>IL</t>
        </is>
      </c>
      <c r="B65" t="inlineStr">
        <is>
          <t>Other</t>
        </is>
      </c>
      <c r="C65" s="7" t="n">
        <v>64</v>
      </c>
      <c r="D65" s="7" t="inlineStr">
        <is>
          <t>Baird Capital</t>
        </is>
      </c>
      <c r="E65" s="7" t="inlineStr">
        <is>
          <t>IND-AI</t>
        </is>
      </c>
      <c r="F65" s="8" t="inlineStr">
        <is>
          <t>YES</t>
        </is>
      </c>
      <c r="G65" s="7">
        <f>HYPERLINK("http://www.bairdcapital.com", "www.bairdcapital.com")</f>
        <v/>
      </c>
      <c r="H65" s="7" t="inlineStr">
        <is>
          <t>AUM: $1193.7B | Portfolio: 43 companies</t>
        </is>
      </c>
      <c r="I65" s="7" t="inlineStr">
        <is>
          <t>PitchBook</t>
        </is>
      </c>
    </row>
    <row r="66">
      <c r="A66" s="7" t="inlineStr">
        <is>
          <t>NY</t>
        </is>
      </c>
      <c r="B66" t="inlineStr">
        <is>
          <t>US</t>
        </is>
      </c>
      <c r="C66" s="7" t="n">
        <v>65</v>
      </c>
      <c r="D66" s="7" t="inlineStr">
        <is>
          <t>GreenPoint Partners</t>
        </is>
      </c>
      <c r="E66" s="7" t="inlineStr">
        <is>
          <t>CLIMATE</t>
        </is>
      </c>
      <c r="F66" s="8" t="inlineStr">
        <is>
          <t>YES</t>
        </is>
      </c>
      <c r="G66" s="7">
        <f>HYPERLINK("http://www.greenpointpartners.com", "www.greenpointpartners.com")</f>
        <v/>
      </c>
      <c r="H66" s="7" t="inlineStr">
        <is>
          <t>AUM: $1151.9B | Portfolio: 18 companies</t>
        </is>
      </c>
      <c r="I66" s="7" t="inlineStr">
        <is>
          <t>PitchBook</t>
        </is>
      </c>
    </row>
    <row r="67">
      <c r="A67" s="7" t="inlineStr">
        <is>
          <t>CA</t>
        </is>
      </c>
      <c r="B67" t="inlineStr">
        <is>
          <t>US</t>
        </is>
      </c>
      <c r="C67" s="7" t="n">
        <v>66</v>
      </c>
      <c r="D67" s="7" t="inlineStr">
        <is>
          <t>Akkadian Ventures</t>
        </is>
      </c>
      <c r="E67" s="7" t="inlineStr">
        <is>
          <t>IND-AI</t>
        </is>
      </c>
      <c r="F67" s="8" t="inlineStr">
        <is>
          <t>YES</t>
        </is>
      </c>
      <c r="G67" s="7">
        <f>HYPERLINK("http://akkadian.vc", "akkadian.vc")</f>
        <v/>
      </c>
      <c r="H67" s="7" t="inlineStr">
        <is>
          <t>AUM: $1082.9B | Portfolio: 20 companies</t>
        </is>
      </c>
      <c r="I67" s="7" t="inlineStr">
        <is>
          <t>PitchBook</t>
        </is>
      </c>
    </row>
    <row r="68">
      <c r="A68" s="7" t="inlineStr">
        <is>
          <t>United Kingdom</t>
        </is>
      </c>
      <c r="B68" t="inlineStr">
        <is>
          <t>EU</t>
        </is>
      </c>
      <c r="C68" s="7" t="n">
        <v>67</v>
      </c>
      <c r="D68" s="7" t="inlineStr">
        <is>
          <t>Pario Ventures</t>
        </is>
      </c>
      <c r="E68" s="7" t="inlineStr">
        <is>
          <t>CLIMATE</t>
        </is>
      </c>
      <c r="F68" s="8" t="inlineStr">
        <is>
          <t>YES</t>
        </is>
      </c>
      <c r="G68" s="7">
        <f>HYPERLINK("http://www.parioventures.com", "www.parioventures.com")</f>
        <v/>
      </c>
      <c r="H68" s="7" t="inlineStr">
        <is>
          <t>AUM: $1023.2B | Portfolio: 90 companies</t>
        </is>
      </c>
      <c r="I68" s="7" t="inlineStr">
        <is>
          <t>PitchBook</t>
        </is>
      </c>
    </row>
    <row r="69">
      <c r="A69" s="7" t="inlineStr">
        <is>
          <t>Switzerland</t>
        </is>
      </c>
      <c r="B69" t="inlineStr">
        <is>
          <t>EU</t>
        </is>
      </c>
      <c r="C69" s="7" t="n">
        <v>68</v>
      </c>
      <c r="D69" s="7" t="inlineStr">
        <is>
          <t>Emerald Technology Ventures</t>
        </is>
      </c>
      <c r="E69" s="7" t="inlineStr">
        <is>
          <t>CLIMATE</t>
        </is>
      </c>
      <c r="F69" s="8" t="inlineStr">
        <is>
          <t>YES</t>
        </is>
      </c>
      <c r="G69" s="7">
        <f>HYPERLINK("http://www.emerald.vc", "www.emerald.vc")</f>
        <v/>
      </c>
      <c r="H69" s="7" t="inlineStr">
        <is>
          <t>AUM: $1000.0B | Portfolio: 47 companies</t>
        </is>
      </c>
      <c r="I69" s="7" t="inlineStr">
        <is>
          <t>PitchBook</t>
        </is>
      </c>
    </row>
    <row r="70">
      <c r="A70" s="7" t="inlineStr">
        <is>
          <t>Germany</t>
        </is>
      </c>
      <c r="B70" t="inlineStr">
        <is>
          <t>EU</t>
        </is>
      </c>
      <c r="C70" s="7" t="n">
        <v>69</v>
      </c>
      <c r="D70" s="7" t="inlineStr">
        <is>
          <t>Picus Capital</t>
        </is>
      </c>
      <c r="E70" s="7" t="inlineStr">
        <is>
          <t>CLIMATE</t>
        </is>
      </c>
      <c r="F70" s="8" t="inlineStr">
        <is>
          <t>YES</t>
        </is>
      </c>
      <c r="G70" s="7">
        <f>HYPERLINK("http://www.picuscap.com", "www.picuscap.com")</f>
        <v/>
      </c>
      <c r="H70" s="7" t="inlineStr">
        <is>
          <t>AUM: $1000.0B | Portfolio: 168 companies</t>
        </is>
      </c>
      <c r="I70" s="7" t="inlineStr">
        <is>
          <t>PitchBook</t>
        </is>
      </c>
    </row>
    <row r="71">
      <c r="A71" s="7" t="inlineStr">
        <is>
          <t>France</t>
        </is>
      </c>
      <c r="B71" t="inlineStr">
        <is>
          <t>EU</t>
        </is>
      </c>
      <c r="C71" s="7" t="n">
        <v>70</v>
      </c>
      <c r="D71" s="7" t="inlineStr">
        <is>
          <t>Serena</t>
        </is>
      </c>
      <c r="E71" s="7" t="inlineStr">
        <is>
          <t>CLIMATE</t>
        </is>
      </c>
      <c r="F71" s="8" t="inlineStr">
        <is>
          <t>YES</t>
        </is>
      </c>
      <c r="G71" s="7">
        <f>HYPERLINK("http://www.serena.vc", "www.serena.vc")</f>
        <v/>
      </c>
      <c r="H71" s="7" t="inlineStr">
        <is>
          <t>AUM: $1000.0B | Portfolio: 82 companies</t>
        </is>
      </c>
      <c r="I71" s="7" t="inlineStr">
        <is>
          <t>PitchBook</t>
        </is>
      </c>
    </row>
    <row r="72">
      <c r="A72" s="7" t="inlineStr">
        <is>
          <t>France</t>
        </is>
      </c>
      <c r="B72" t="inlineStr">
        <is>
          <t>EU</t>
        </is>
      </c>
      <c r="C72" s="7" t="n">
        <v>71</v>
      </c>
      <c r="D72" s="7" t="inlineStr">
        <is>
          <t>Seventure</t>
        </is>
      </c>
      <c r="E72" s="7" t="inlineStr">
        <is>
          <t>CLIMATE</t>
        </is>
      </c>
      <c r="F72" s="8" t="inlineStr">
        <is>
          <t>YES</t>
        </is>
      </c>
      <c r="G72" s="7">
        <f>HYPERLINK("http://www.seventure.fr", "www.seventure.fr")</f>
        <v/>
      </c>
      <c r="H72" s="7" t="inlineStr">
        <is>
          <t>AUM: $1000.0B | Portfolio: 117 companies</t>
        </is>
      </c>
      <c r="I72" s="7" t="inlineStr">
        <is>
          <t>PitchBook</t>
        </is>
      </c>
    </row>
    <row r="73">
      <c r="A73" s="7" t="inlineStr">
        <is>
          <t>France</t>
        </is>
      </c>
      <c r="B73" t="inlineStr">
        <is>
          <t>EU</t>
        </is>
      </c>
      <c r="C73" s="7" t="n">
        <v>72</v>
      </c>
      <c r="D73" s="7" t="inlineStr">
        <is>
          <t>Ventech (Paris)</t>
        </is>
      </c>
      <c r="E73" s="7" t="inlineStr">
        <is>
          <t>CLIMATE</t>
        </is>
      </c>
      <c r="F73" s="8" t="inlineStr">
        <is>
          <t>YES</t>
        </is>
      </c>
      <c r="G73" s="7">
        <f>HYPERLINK("http://www.ventechvc.com", "www.ventechvc.com")</f>
        <v/>
      </c>
      <c r="H73" s="7" t="inlineStr">
        <is>
          <t>AUM: $1000.0B | Portfolio: 142 companies</t>
        </is>
      </c>
      <c r="I73" s="7" t="inlineStr">
        <is>
          <t>PitchBook</t>
        </is>
      </c>
    </row>
    <row r="74">
      <c r="A74" s="7" t="inlineStr">
        <is>
          <t>CA</t>
        </is>
      </c>
      <c r="B74" t="inlineStr">
        <is>
          <t>US</t>
        </is>
      </c>
      <c r="C74" s="7" t="n">
        <v>73</v>
      </c>
      <c r="D74" s="7" t="inlineStr">
        <is>
          <t>BMW i Ventures</t>
        </is>
      </c>
      <c r="E74" s="7" t="inlineStr">
        <is>
          <t>CLIMATE</t>
        </is>
      </c>
      <c r="F74" s="8" t="inlineStr">
        <is>
          <t>YES</t>
        </is>
      </c>
      <c r="G74" s="7">
        <f>HYPERLINK("http://www.bmwiventures.com", "www.bmwiventures.com")</f>
        <v/>
      </c>
      <c r="H74" s="7" t="inlineStr">
        <is>
          <t>AUM: $937.9B | Portfolio: 60 companies</t>
        </is>
      </c>
      <c r="I74" s="7" t="inlineStr">
        <is>
          <t>PitchBook</t>
        </is>
      </c>
    </row>
    <row r="75">
      <c r="A75" s="7" t="inlineStr">
        <is>
          <t>CA</t>
        </is>
      </c>
      <c r="B75" t="inlineStr">
        <is>
          <t>US</t>
        </is>
      </c>
      <c r="C75" s="7" t="n">
        <v>74</v>
      </c>
      <c r="D75" s="7" t="inlineStr">
        <is>
          <t>Celesta Capital</t>
        </is>
      </c>
      <c r="E75" s="7" t="inlineStr">
        <is>
          <t>FOOD</t>
        </is>
      </c>
      <c r="F75" s="8" t="inlineStr">
        <is>
          <t>YES</t>
        </is>
      </c>
      <c r="G75" s="7">
        <f>HYPERLINK("http://www.celesta.vc", "www.celesta.vc")</f>
        <v/>
      </c>
      <c r="H75" s="7" t="inlineStr">
        <is>
          <t>AUM: $937.9B | Portfolio: 71 companies</t>
        </is>
      </c>
      <c r="I75" s="7" t="inlineStr">
        <is>
          <t>PitchBook</t>
        </is>
      </c>
    </row>
    <row r="76">
      <c r="A76" s="7" t="inlineStr">
        <is>
          <t>GA</t>
        </is>
      </c>
      <c r="B76" t="inlineStr">
        <is>
          <t>US</t>
        </is>
      </c>
      <c r="C76" s="7" t="n">
        <v>75</v>
      </c>
      <c r="D76" s="7" t="inlineStr">
        <is>
          <t>Sovereign's Capital</t>
        </is>
      </c>
      <c r="E76" s="7" t="inlineStr">
        <is>
          <t>IND-AI</t>
        </is>
      </c>
      <c r="F76" s="8" t="inlineStr">
        <is>
          <t>YES</t>
        </is>
      </c>
      <c r="G76" s="7">
        <f>HYPERLINK("http://www.sovereignscapital.com", "www.sovereignscapital.com")</f>
        <v/>
      </c>
      <c r="H76" s="7" t="inlineStr">
        <is>
          <t>AUM: $897.9B | Portfolio: 71 companies</t>
        </is>
      </c>
      <c r="I76" s="7" t="inlineStr">
        <is>
          <t>PitchBook</t>
        </is>
      </c>
    </row>
    <row r="77">
      <c r="A77" s="7" t="inlineStr">
        <is>
          <t>South Korea</t>
        </is>
      </c>
      <c r="B77" t="inlineStr">
        <is>
          <t>Other</t>
        </is>
      </c>
      <c r="C77" s="7" t="n">
        <v>76</v>
      </c>
      <c r="D77" s="7" t="inlineStr">
        <is>
          <t>InterVest</t>
        </is>
      </c>
      <c r="E77" s="7" t="inlineStr">
        <is>
          <t>CLIMATE</t>
        </is>
      </c>
      <c r="F77" s="8" t="inlineStr">
        <is>
          <t>YES</t>
        </is>
      </c>
      <c r="G77" s="7">
        <f>HYPERLINK("http://www.intervest.co.kr", "www.intervest.co.kr")</f>
        <v/>
      </c>
      <c r="H77" s="7" t="inlineStr">
        <is>
          <t>AUM: $865.8B | Portfolio: 141 companies</t>
        </is>
      </c>
      <c r="I77" s="7" t="inlineStr">
        <is>
          <t>PitchBook</t>
        </is>
      </c>
    </row>
    <row r="78">
      <c r="A78" s="7" t="inlineStr">
        <is>
          <t>Singapore</t>
        </is>
      </c>
      <c r="B78" t="inlineStr">
        <is>
          <t>Other</t>
        </is>
      </c>
      <c r="C78" s="7" t="n">
        <v>77</v>
      </c>
      <c r="D78" s="7" t="inlineStr">
        <is>
          <t>Antler</t>
        </is>
      </c>
      <c r="E78" s="7" t="inlineStr">
        <is>
          <t>CLIMATE</t>
        </is>
      </c>
      <c r="F78" s="8" t="inlineStr">
        <is>
          <t>YES</t>
        </is>
      </c>
      <c r="G78" s="7">
        <f>HYPERLINK("http://www.antler.co", "www.antler.co")</f>
        <v/>
      </c>
      <c r="H78" s="7" t="inlineStr">
        <is>
          <t>AUM: $852.7B | Portfolio: 1533 companies</t>
        </is>
      </c>
      <c r="I78" s="7" t="inlineStr">
        <is>
          <t>PitchBook</t>
        </is>
      </c>
    </row>
    <row r="79">
      <c r="A79" s="7" t="inlineStr">
        <is>
          <t>MA</t>
        </is>
      </c>
      <c r="B79" t="inlineStr">
        <is>
          <t>US</t>
        </is>
      </c>
      <c r="C79" s="7" t="n">
        <v>78</v>
      </c>
      <c r="D79" s="7" t="inlineStr">
        <is>
          <t>Anzu Partners</t>
        </is>
      </c>
      <c r="E79" s="7" t="inlineStr">
        <is>
          <t>CLIMATE</t>
        </is>
      </c>
      <c r="F79" s="8" t="inlineStr">
        <is>
          <t>YES</t>
        </is>
      </c>
      <c r="G79" s="7">
        <f>HYPERLINK("http://anzupartners.com", "anzupartners.com")</f>
        <v/>
      </c>
      <c r="H79" s="7" t="inlineStr">
        <is>
          <t>AUM: $852.7B | Portfolio: 42 companies</t>
        </is>
      </c>
      <c r="I79" s="7" t="inlineStr">
        <is>
          <t>PitchBook</t>
        </is>
      </c>
    </row>
    <row r="80">
      <c r="A80" s="7" t="inlineStr">
        <is>
          <t>CA</t>
        </is>
      </c>
      <c r="B80" t="inlineStr">
        <is>
          <t>US</t>
        </is>
      </c>
      <c r="C80" s="7" t="n">
        <v>79</v>
      </c>
      <c r="D80" s="7" t="inlineStr">
        <is>
          <t>Applied Ventures</t>
        </is>
      </c>
      <c r="E80" s="7" t="inlineStr">
        <is>
          <t>CLIMATE</t>
        </is>
      </c>
      <c r="F80" s="8" t="inlineStr">
        <is>
          <t>YES</t>
        </is>
      </c>
      <c r="G80" s="7" t="inlineStr"/>
      <c r="H80" s="7" t="inlineStr">
        <is>
          <t>AUM: $852.7B | Portfolio: 50 companies</t>
        </is>
      </c>
      <c r="I80" s="7" t="inlineStr">
        <is>
          <t>PitchBook</t>
        </is>
      </c>
    </row>
    <row r="81">
      <c r="A81" s="7" t="inlineStr">
        <is>
          <t>CA</t>
        </is>
      </c>
      <c r="B81" t="inlineStr">
        <is>
          <t>US</t>
        </is>
      </c>
      <c r="C81" s="7" t="n">
        <v>80</v>
      </c>
      <c r="D81" s="7" t="inlineStr">
        <is>
          <t>Builders VC</t>
        </is>
      </c>
      <c r="E81" s="7" t="inlineStr">
        <is>
          <t>FOOD</t>
        </is>
      </c>
      <c r="F81" s="8" t="inlineStr">
        <is>
          <t>YES</t>
        </is>
      </c>
      <c r="G81" s="7">
        <f>HYPERLINK("http://www.builders.vc", "www.builders.vc")</f>
        <v/>
      </c>
      <c r="H81" s="7" t="inlineStr">
        <is>
          <t>AUM: $852.7B | Portfolio: 96 companies</t>
        </is>
      </c>
      <c r="I81" s="7" t="inlineStr">
        <is>
          <t>PitchBook</t>
        </is>
      </c>
    </row>
    <row r="82">
      <c r="A82" s="7" t="inlineStr">
        <is>
          <t>Germany</t>
        </is>
      </c>
      <c r="B82" t="inlineStr">
        <is>
          <t>EU</t>
        </is>
      </c>
      <c r="C82" s="7" t="n">
        <v>81</v>
      </c>
      <c r="D82" s="7" t="inlineStr">
        <is>
          <t>Hitachi Ventures</t>
        </is>
      </c>
      <c r="E82" s="7" t="inlineStr">
        <is>
          <t>CLIMATE</t>
        </is>
      </c>
      <c r="F82" s="8" t="inlineStr">
        <is>
          <t>YES</t>
        </is>
      </c>
      <c r="G82" s="7">
        <f>HYPERLINK("http://hitachi-ventures.com", "hitachi-ventures.com")</f>
        <v/>
      </c>
      <c r="H82" s="7" t="inlineStr">
        <is>
          <t>AUM: $852.7B | Portfolio: 48 companies</t>
        </is>
      </c>
      <c r="I82" s="7" t="inlineStr">
        <is>
          <t>PitchBook</t>
        </is>
      </c>
    </row>
    <row r="83">
      <c r="A83" s="7" t="inlineStr">
        <is>
          <t>United Kingdom</t>
        </is>
      </c>
      <c r="B83" t="inlineStr">
        <is>
          <t>EU</t>
        </is>
      </c>
      <c r="C83" s="7" t="n">
        <v>82</v>
      </c>
      <c r="D83" s="7" t="inlineStr">
        <is>
          <t>Hummingbird Ventures</t>
        </is>
      </c>
      <c r="E83" s="7" t="inlineStr">
        <is>
          <t>CLIMATE</t>
        </is>
      </c>
      <c r="F83" s="8" t="inlineStr">
        <is>
          <t>YES</t>
        </is>
      </c>
      <c r="G83" s="7">
        <f>HYPERLINK("http://www.hummingbird.vc", "www.hummingbird.vc")</f>
        <v/>
      </c>
      <c r="H83" s="7" t="inlineStr">
        <is>
          <t>AUM: $852.7B | Portfolio: 75 companies</t>
        </is>
      </c>
      <c r="I83" s="7" t="inlineStr">
        <is>
          <t>PitchBook</t>
        </is>
      </c>
    </row>
    <row r="84">
      <c r="A84" s="7" t="inlineStr">
        <is>
          <t>United Kingdom</t>
        </is>
      </c>
      <c r="B84" t="inlineStr">
        <is>
          <t>EU</t>
        </is>
      </c>
      <c r="C84" s="7" t="n">
        <v>83</v>
      </c>
      <c r="D84" s="7" t="inlineStr">
        <is>
          <t>IQ Capital Partners</t>
        </is>
      </c>
      <c r="E84" s="7" t="inlineStr">
        <is>
          <t>CHEM</t>
        </is>
      </c>
      <c r="F84" s="8" t="inlineStr">
        <is>
          <t>YES</t>
        </is>
      </c>
      <c r="G84" s="7">
        <f>HYPERLINK("http://www.iqcapital.vc", "www.iqcapital.vc")</f>
        <v/>
      </c>
      <c r="H84" s="7" t="inlineStr">
        <is>
          <t>AUM: $852.7B | Portfolio: 65 companies</t>
        </is>
      </c>
      <c r="I84" s="7" t="inlineStr">
        <is>
          <t>PitchBook</t>
        </is>
      </c>
    </row>
    <row r="85">
      <c r="A85" s="7" t="inlineStr">
        <is>
          <t>United Kingdom</t>
        </is>
      </c>
      <c r="B85" t="inlineStr">
        <is>
          <t>EU</t>
        </is>
      </c>
      <c r="C85" s="7" t="n">
        <v>84</v>
      </c>
      <c r="D85" s="7" t="inlineStr">
        <is>
          <t>Notion Capital</t>
        </is>
      </c>
      <c r="E85" s="7" t="inlineStr">
        <is>
          <t>FOOD</t>
        </is>
      </c>
      <c r="F85" s="8" t="inlineStr">
        <is>
          <t>YES</t>
        </is>
      </c>
      <c r="G85" s="7">
        <f>HYPERLINK("http://www.notioncapital.com", "www.notioncapital.com")</f>
        <v/>
      </c>
      <c r="H85" s="7" t="inlineStr">
        <is>
          <t>AUM: $852.7B | Portfolio: 105 companies</t>
        </is>
      </c>
      <c r="I85" s="7" t="inlineStr">
        <is>
          <t>PitchBook</t>
        </is>
      </c>
    </row>
    <row r="86">
      <c r="A86" s="7" t="inlineStr">
        <is>
          <t>Switzerland</t>
        </is>
      </c>
      <c r="B86" t="inlineStr">
        <is>
          <t>EU</t>
        </is>
      </c>
      <c r="C86" s="7" t="n">
        <v>85</v>
      </c>
      <c r="D86" s="7" t="inlineStr">
        <is>
          <t>Redalpine</t>
        </is>
      </c>
      <c r="E86" s="7" t="inlineStr">
        <is>
          <t>CLIMATE</t>
        </is>
      </c>
      <c r="F86" s="8" t="inlineStr">
        <is>
          <t>YES</t>
        </is>
      </c>
      <c r="G86" s="7">
        <f>HYPERLINK("http://www.redalpine.com", "www.redalpine.com")</f>
        <v/>
      </c>
      <c r="H86" s="7" t="inlineStr">
        <is>
          <t>AUM: $852.7B | Portfolio: 64 companies</t>
        </is>
      </c>
      <c r="I86" s="7" t="inlineStr">
        <is>
          <t>PitchBook</t>
        </is>
      </c>
    </row>
    <row r="87">
      <c r="A87" s="7" t="inlineStr">
        <is>
          <t>MA</t>
        </is>
      </c>
      <c r="B87" t="inlineStr">
        <is>
          <t>US</t>
        </is>
      </c>
      <c r="C87" s="7" t="n">
        <v>86</v>
      </c>
      <c r="D87" s="7" t="inlineStr">
        <is>
          <t>Safar Partners</t>
        </is>
      </c>
      <c r="E87" s="7" t="inlineStr">
        <is>
          <t>CLIMATE</t>
        </is>
      </c>
      <c r="F87" s="8" t="inlineStr">
        <is>
          <t>YES</t>
        </is>
      </c>
      <c r="G87" s="7">
        <f>HYPERLINK("http://safar.partners", "safar.partners")</f>
        <v/>
      </c>
      <c r="H87" s="7" t="inlineStr">
        <is>
          <t>AUM: $852.7B | Portfolio: 70 companies</t>
        </is>
      </c>
      <c r="I87" s="7" t="inlineStr">
        <is>
          <t>PitchBook</t>
        </is>
      </c>
    </row>
    <row r="88">
      <c r="A88" s="7" t="inlineStr">
        <is>
          <t>NY</t>
        </is>
      </c>
      <c r="B88" t="inlineStr">
        <is>
          <t>US</t>
        </is>
      </c>
      <c r="C88" s="7" t="n">
        <v>87</v>
      </c>
      <c r="D88" s="7" t="inlineStr">
        <is>
          <t>Techstars</t>
        </is>
      </c>
      <c r="E88" s="7" t="inlineStr">
        <is>
          <t>CLIMATE</t>
        </is>
      </c>
      <c r="F88" s="8" t="inlineStr">
        <is>
          <t>YES</t>
        </is>
      </c>
      <c r="G88" s="7">
        <f>HYPERLINK("http://www.techstars.com", "www.techstars.com")</f>
        <v/>
      </c>
      <c r="H88" s="7" t="inlineStr">
        <is>
          <t>AUM: $852.7B | Portfolio: 3592 companies</t>
        </is>
      </c>
      <c r="I88" s="7" t="inlineStr">
        <is>
          <t>PitchBook</t>
        </is>
      </c>
    </row>
    <row r="89">
      <c r="A89" s="7" t="inlineStr">
        <is>
          <t>CA</t>
        </is>
      </c>
      <c r="B89" t="inlineStr">
        <is>
          <t>US</t>
        </is>
      </c>
      <c r="C89" s="7" t="n">
        <v>88</v>
      </c>
      <c r="D89" s="7" t="inlineStr">
        <is>
          <t>TransLink Capital</t>
        </is>
      </c>
      <c r="E89" s="7" t="inlineStr">
        <is>
          <t>FOOD</t>
        </is>
      </c>
      <c r="F89" s="8" t="inlineStr">
        <is>
          <t>YES</t>
        </is>
      </c>
      <c r="G89" s="7">
        <f>HYPERLINK("http://www.translinkcapital.com", "www.translinkcapital.com")</f>
        <v/>
      </c>
      <c r="H89" s="7" t="inlineStr">
        <is>
          <t>AUM: $852.7B | Portfolio: 83 companies</t>
        </is>
      </c>
      <c r="I89" s="7" t="inlineStr">
        <is>
          <t>PitchBook</t>
        </is>
      </c>
    </row>
    <row r="90">
      <c r="A90" s="7" t="inlineStr">
        <is>
          <t>Netherlands</t>
        </is>
      </c>
      <c r="B90" t="inlineStr">
        <is>
          <t>EU</t>
        </is>
      </c>
      <c r="C90" s="7" t="n">
        <v>89</v>
      </c>
      <c r="D90" s="7" t="inlineStr">
        <is>
          <t>Innovation Industries (Amsterdam)</t>
        </is>
      </c>
      <c r="E90" s="7" t="inlineStr">
        <is>
          <t>CHEM</t>
        </is>
      </c>
      <c r="F90" s="8" t="inlineStr">
        <is>
          <t>YES</t>
        </is>
      </c>
      <c r="G90" s="7">
        <f>HYPERLINK("http://www.innovationindustries.com", "www.innovationindustries.com")</f>
        <v/>
      </c>
      <c r="H90" s="7" t="inlineStr">
        <is>
          <t>AUM: $850.0B | Portfolio: 41 companies</t>
        </is>
      </c>
      <c r="I90" s="7" t="inlineStr">
        <is>
          <t>PitchBook</t>
        </is>
      </c>
    </row>
    <row r="91">
      <c r="A91" s="7" t="inlineStr">
        <is>
          <t>United Kingdom</t>
        </is>
      </c>
      <c r="B91" t="inlineStr">
        <is>
          <t>EU</t>
        </is>
      </c>
      <c r="C91" s="7" t="n">
        <v>90</v>
      </c>
      <c r="D91" s="7" t="inlineStr">
        <is>
          <t>Salica Investments</t>
        </is>
      </c>
      <c r="E91" s="7" t="inlineStr">
        <is>
          <t>CLIMATE</t>
        </is>
      </c>
      <c r="F91" s="8" t="inlineStr">
        <is>
          <t>YES</t>
        </is>
      </c>
      <c r="G91" s="7">
        <f>HYPERLINK("http://www.salicainvestments.com", "www.salicainvestments.com")</f>
        <v/>
      </c>
      <c r="H91" s="7" t="inlineStr">
        <is>
          <t>AUM: $839.9B | Portfolio: 139 companies</t>
        </is>
      </c>
      <c r="I91" s="7" t="inlineStr">
        <is>
          <t>PitchBook</t>
        </is>
      </c>
    </row>
    <row r="92">
      <c r="A92" s="7" t="inlineStr">
        <is>
          <t>China</t>
        </is>
      </c>
      <c r="B92" t="inlineStr">
        <is>
          <t>Other</t>
        </is>
      </c>
      <c r="C92" s="7" t="n">
        <v>91</v>
      </c>
      <c r="D92" s="7" t="inlineStr">
        <is>
          <t>Integrity Capital Partners (Beijing)</t>
        </is>
      </c>
      <c r="E92" s="7" t="inlineStr">
        <is>
          <t>CLIMATE</t>
        </is>
      </c>
      <c r="F92" s="8" t="inlineStr">
        <is>
          <t>YES</t>
        </is>
      </c>
      <c r="G92" s="7">
        <f>HYPERLINK("http://www.icpartners.cn", "www.icpartners.cn")</f>
        <v/>
      </c>
      <c r="H92" s="7" t="inlineStr">
        <is>
          <t>AUM: $811.7B | Portfolio: 37 companies</t>
        </is>
      </c>
      <c r="I92" s="7" t="inlineStr">
        <is>
          <t>PitchBook</t>
        </is>
      </c>
    </row>
    <row r="93">
      <c r="A93" s="7" t="inlineStr">
        <is>
          <t>CA</t>
        </is>
      </c>
      <c r="B93" t="inlineStr">
        <is>
          <t>US</t>
        </is>
      </c>
      <c r="C93" s="7" t="n">
        <v>92</v>
      </c>
      <c r="D93" s="7" t="inlineStr">
        <is>
          <t>Riot Ventures</t>
        </is>
      </c>
      <c r="E93" s="7" t="inlineStr">
        <is>
          <t>CLIMATE</t>
        </is>
      </c>
      <c r="F93" s="8" t="inlineStr">
        <is>
          <t>YES</t>
        </is>
      </c>
      <c r="G93" s="7">
        <f>HYPERLINK("http://www.riot.vc", "www.riot.vc")</f>
        <v/>
      </c>
      <c r="H93" s="7" t="inlineStr">
        <is>
          <t>AUM: $808.3B | Portfolio: 33 companies</t>
        </is>
      </c>
      <c r="I93" s="7" t="inlineStr">
        <is>
          <t>PitchBook</t>
        </is>
      </c>
    </row>
    <row r="94">
      <c r="A94" s="7" t="inlineStr">
        <is>
          <t>Denmark</t>
        </is>
      </c>
      <c r="B94" t="inlineStr">
        <is>
          <t>EU</t>
        </is>
      </c>
      <c r="C94" s="7" t="n">
        <v>93</v>
      </c>
      <c r="D94" s="7" t="inlineStr">
        <is>
          <t>Heartcore Capital</t>
        </is>
      </c>
      <c r="E94" s="7" t="inlineStr">
        <is>
          <t>CLIMATE</t>
        </is>
      </c>
      <c r="F94" s="8" t="inlineStr">
        <is>
          <t>YES</t>
        </is>
      </c>
      <c r="G94" s="7">
        <f>HYPERLINK("http://www.heartcore.com", "www.heartcore.com")</f>
        <v/>
      </c>
      <c r="H94" s="7" t="inlineStr">
        <is>
          <t>AUM: $800.0B | Portfolio: 78 companies</t>
        </is>
      </c>
      <c r="I94" s="7" t="inlineStr">
        <is>
          <t>PitchBook</t>
        </is>
      </c>
    </row>
    <row r="95">
      <c r="A95" s="7" t="inlineStr">
        <is>
          <t>Germany</t>
        </is>
      </c>
      <c r="B95" t="inlineStr">
        <is>
          <t>EU</t>
        </is>
      </c>
      <c r="C95" s="7" t="n">
        <v>94</v>
      </c>
      <c r="D95" s="7" t="inlineStr">
        <is>
          <t>Wellington Partners</t>
        </is>
      </c>
      <c r="E95" s="7" t="inlineStr">
        <is>
          <t>FOOD</t>
        </is>
      </c>
      <c r="F95" s="8" t="inlineStr">
        <is>
          <t>YES</t>
        </is>
      </c>
      <c r="G95" s="7">
        <f>HYPERLINK("http://www.wellington-partners.com", "www.wellington-partners.com")</f>
        <v/>
      </c>
      <c r="H95" s="7" t="inlineStr">
        <is>
          <t>AUM: $800.0B | Portfolio: 41 companies</t>
        </is>
      </c>
      <c r="I95" s="7" t="inlineStr">
        <is>
          <t>PitchBook</t>
        </is>
      </c>
    </row>
    <row r="96">
      <c r="A96" s="7" t="inlineStr">
        <is>
          <t>France</t>
        </is>
      </c>
      <c r="B96" t="inlineStr">
        <is>
          <t>EU</t>
        </is>
      </c>
      <c r="C96" s="7" t="n">
        <v>95</v>
      </c>
      <c r="D96" s="7" t="inlineStr">
        <is>
          <t>XAnge</t>
        </is>
      </c>
      <c r="E96" s="7" t="inlineStr">
        <is>
          <t>CLIMATE</t>
        </is>
      </c>
      <c r="F96" s="8" t="inlineStr">
        <is>
          <t>YES</t>
        </is>
      </c>
      <c r="G96" s="7">
        <f>HYPERLINK("http://www.xange.vc", "www.xange.vc")</f>
        <v/>
      </c>
      <c r="H96" s="7" t="inlineStr">
        <is>
          <t>AUM: $800.0B | Portfolio: 99 companies</t>
        </is>
      </c>
      <c r="I96" s="7" t="inlineStr">
        <is>
          <t>PitchBook</t>
        </is>
      </c>
    </row>
    <row r="97">
      <c r="A97" s="7" t="inlineStr">
        <is>
          <t>United Kingdom</t>
        </is>
      </c>
      <c r="B97" t="inlineStr">
        <is>
          <t>EU</t>
        </is>
      </c>
      <c r="C97" s="7" t="n">
        <v>96</v>
      </c>
      <c r="D97" s="7" t="inlineStr">
        <is>
          <t>Plural</t>
        </is>
      </c>
      <c r="E97" s="7" t="inlineStr">
        <is>
          <t>CLIMATE</t>
        </is>
      </c>
      <c r="F97" s="8" t="inlineStr">
        <is>
          <t>YES</t>
        </is>
      </c>
      <c r="G97" s="7">
        <f>HYPERLINK("http://www.pluralplatform.com", "www.pluralplatform.com")</f>
        <v/>
      </c>
      <c r="H97" s="7" t="inlineStr">
        <is>
          <t>AUM: $762.0B | Portfolio: 45 companies</t>
        </is>
      </c>
      <c r="I97" s="7" t="inlineStr">
        <is>
          <t>PitchBook</t>
        </is>
      </c>
    </row>
    <row r="98">
      <c r="A98" s="7" t="inlineStr">
        <is>
          <t>France</t>
        </is>
      </c>
      <c r="B98" t="inlineStr">
        <is>
          <t>EU</t>
        </is>
      </c>
      <c r="C98" s="7" t="n">
        <v>97</v>
      </c>
      <c r="D98" s="7" t="inlineStr">
        <is>
          <t>360 Capital</t>
        </is>
      </c>
      <c r="E98" s="7" t="inlineStr">
        <is>
          <t>IND-AI</t>
        </is>
      </c>
      <c r="F98" s="8" t="inlineStr">
        <is>
          <t>YES</t>
        </is>
      </c>
      <c r="G98" s="7">
        <f>HYPERLINK("http://www.360cap.vc", "www.360cap.vc")</f>
        <v/>
      </c>
      <c r="H98" s="7" t="inlineStr">
        <is>
          <t>AUM: $700.0B | Portfolio: 72 companies</t>
        </is>
      </c>
      <c r="I98" s="7" t="inlineStr">
        <is>
          <t>PitchBook</t>
        </is>
      </c>
    </row>
    <row r="99">
      <c r="A99" s="7" t="inlineStr">
        <is>
          <t>France</t>
        </is>
      </c>
      <c r="B99" t="inlineStr">
        <is>
          <t>EU</t>
        </is>
      </c>
      <c r="C99" s="7" t="n">
        <v>98</v>
      </c>
      <c r="D99" s="7" t="inlineStr">
        <is>
          <t>Épopée Gestion</t>
        </is>
      </c>
      <c r="E99" s="7" t="inlineStr">
        <is>
          <t>FOOD</t>
        </is>
      </c>
      <c r="F99" s="8" t="inlineStr">
        <is>
          <t>YES</t>
        </is>
      </c>
      <c r="G99" s="7">
        <f>HYPERLINK("http://www.epopeegestion.fr", "www.epopeegestion.fr")</f>
        <v/>
      </c>
      <c r="H99" s="7" t="inlineStr">
        <is>
          <t>AUM: $700.0B | Portfolio: 45 companies</t>
        </is>
      </c>
      <c r="I99" s="7" t="inlineStr">
        <is>
          <t>PitchBook</t>
        </is>
      </c>
    </row>
    <row r="100">
      <c r="A100" s="7" t="inlineStr">
        <is>
          <t>Germany</t>
        </is>
      </c>
      <c r="B100" t="inlineStr">
        <is>
          <t>EU</t>
        </is>
      </c>
      <c r="C100" s="7" t="n">
        <v>99</v>
      </c>
      <c r="D100" s="7" t="inlineStr">
        <is>
          <t>Unternehmertum Venture Capital Partners</t>
        </is>
      </c>
      <c r="E100" s="7" t="inlineStr">
        <is>
          <t>CLIMATE</t>
        </is>
      </c>
      <c r="F100" s="8" t="inlineStr">
        <is>
          <t>YES</t>
        </is>
      </c>
      <c r="G100" s="7">
        <f>HYPERLINK("http://www.uvcpartners.com", "www.uvcpartners.com")</f>
        <v/>
      </c>
      <c r="H100" s="7" t="inlineStr">
        <is>
          <t>AUM: $700.0B | Portfolio: 43 companies</t>
        </is>
      </c>
      <c r="I100" s="7" t="inlineStr">
        <is>
          <t>PitchBook</t>
        </is>
      </c>
    </row>
    <row r="101">
      <c r="A101" s="7" t="inlineStr">
        <is>
          <t>China</t>
        </is>
      </c>
      <c r="B101" t="inlineStr">
        <is>
          <t>Other</t>
        </is>
      </c>
      <c r="C101" s="7" t="n">
        <v>100</v>
      </c>
      <c r="D101" s="7" t="inlineStr">
        <is>
          <t>T-Rex Capital</t>
        </is>
      </c>
      <c r="E101" s="7" t="inlineStr">
        <is>
          <t>CLIMATE</t>
        </is>
      </c>
      <c r="F101" s="8" t="inlineStr">
        <is>
          <t>YES</t>
        </is>
      </c>
      <c r="G101" s="7">
        <f>HYPERLINK("http://trexcapitalasia.com", "trexcapitalasia.com")</f>
        <v/>
      </c>
      <c r="H101" s="7" t="inlineStr">
        <is>
          <t>AUM: $682.1B | Portfolio: 31 companies</t>
        </is>
      </c>
      <c r="I101" s="7" t="inlineStr">
        <is>
          <t>PitchBook</t>
        </is>
      </c>
    </row>
    <row r="102">
      <c r="A102" s="7" t="inlineStr">
        <is>
          <t>VI</t>
        </is>
      </c>
      <c r="B102" t="inlineStr">
        <is>
          <t>Other</t>
        </is>
      </c>
      <c r="C102" s="7" t="n">
        <v>101</v>
      </c>
      <c r="D102" s="7" t="inlineStr">
        <is>
          <t>Southern Equity Advisors</t>
        </is>
      </c>
      <c r="E102" s="7" t="inlineStr">
        <is>
          <t>CLIMATE</t>
        </is>
      </c>
      <c r="F102" s="8" t="inlineStr">
        <is>
          <t>YES</t>
        </is>
      </c>
      <c r="G102" s="7">
        <f>HYPERLINK("http://www.southernequity.com", "www.southernequity.com")</f>
        <v/>
      </c>
      <c r="H102" s="7" t="inlineStr">
        <is>
          <t>AUM: $671.9B | Portfolio: 21 companies</t>
        </is>
      </c>
      <c r="I102" s="7" t="inlineStr">
        <is>
          <t>PitchBook</t>
        </is>
      </c>
    </row>
    <row r="103">
      <c r="A103" s="7" t="inlineStr">
        <is>
          <t>WA</t>
        </is>
      </c>
      <c r="B103" t="inlineStr">
        <is>
          <t>US</t>
        </is>
      </c>
      <c r="C103" s="7" t="n">
        <v>102</v>
      </c>
      <c r="D103" s="7" t="inlineStr">
        <is>
          <t>Maveron</t>
        </is>
      </c>
      <c r="E103" s="7" t="inlineStr">
        <is>
          <t>IND-AI</t>
        </is>
      </c>
      <c r="F103" s="8" t="inlineStr">
        <is>
          <t>YES</t>
        </is>
      </c>
      <c r="G103" s="7">
        <f>HYPERLINK("http://www.maveron.com", "www.maveron.com")</f>
        <v/>
      </c>
      <c r="H103" s="7" t="inlineStr">
        <is>
          <t>AUM: $663.4B | Portfolio: 98 companies</t>
        </is>
      </c>
      <c r="I103" s="7" t="inlineStr">
        <is>
          <t>PitchBook</t>
        </is>
      </c>
    </row>
    <row r="104">
      <c r="A104" s="7" t="inlineStr">
        <is>
          <t>Spain</t>
        </is>
      </c>
      <c r="B104" t="inlineStr">
        <is>
          <t>EU</t>
        </is>
      </c>
      <c r="C104" s="7" t="n">
        <v>103</v>
      </c>
      <c r="D104" s="7" t="inlineStr">
        <is>
          <t>Seaya Ventures</t>
        </is>
      </c>
      <c r="E104" s="7" t="inlineStr">
        <is>
          <t>CLIMATE</t>
        </is>
      </c>
      <c r="F104" s="8" t="inlineStr">
        <is>
          <t>YES</t>
        </is>
      </c>
      <c r="G104" s="7">
        <f>HYPERLINK("http://www.seaya.vc", "www.seaya.vc")</f>
        <v/>
      </c>
      <c r="H104" s="7" t="inlineStr">
        <is>
          <t>AUM: $650.0B | Portfolio: 54 companies</t>
        </is>
      </c>
      <c r="I104" s="7" t="inlineStr">
        <is>
          <t>PitchBook</t>
        </is>
      </c>
    </row>
    <row r="105">
      <c r="A105" s="7" t="inlineStr">
        <is>
          <t>MA</t>
        </is>
      </c>
      <c r="B105" t="inlineStr">
        <is>
          <t>US</t>
        </is>
      </c>
      <c r="C105" s="7" t="n">
        <v>104</v>
      </c>
      <c r="D105" s="7" t="inlineStr">
        <is>
          <t>Advaita Capital</t>
        </is>
      </c>
      <c r="E105" s="7" t="inlineStr">
        <is>
          <t>CLIMATE</t>
        </is>
      </c>
      <c r="F105" s="8" t="inlineStr">
        <is>
          <t>YES</t>
        </is>
      </c>
      <c r="G105" s="7">
        <f>HYPERLINK("http://www.advaitacap.com", "www.advaitacap.com")</f>
        <v/>
      </c>
      <c r="H105" s="7" t="inlineStr">
        <is>
          <t>AUM: $639.5B | Portfolio: 12 companies</t>
        </is>
      </c>
      <c r="I105" s="7" t="inlineStr">
        <is>
          <t>PitchBook</t>
        </is>
      </c>
    </row>
    <row r="106">
      <c r="A106" s="7" t="inlineStr">
        <is>
          <t>TX</t>
        </is>
      </c>
      <c r="B106" t="inlineStr">
        <is>
          <t>US</t>
        </is>
      </c>
      <c r="C106" s="7" t="n">
        <v>105</v>
      </c>
      <c r="D106" s="7" t="inlineStr">
        <is>
          <t>Mercury Fund</t>
        </is>
      </c>
      <c r="E106" s="7" t="inlineStr">
        <is>
          <t>CLIMATE</t>
        </is>
      </c>
      <c r="F106" s="8" t="inlineStr">
        <is>
          <t>YES</t>
        </is>
      </c>
      <c r="G106" s="7">
        <f>HYPERLINK("http://mercuryfund.com", "mercuryfund.com")</f>
        <v/>
      </c>
      <c r="H106" s="7" t="inlineStr">
        <is>
          <t>AUM: $639.5B | Portfolio: 58 companies</t>
        </is>
      </c>
      <c r="I106" s="7" t="inlineStr">
        <is>
          <t>PitchBook</t>
        </is>
      </c>
    </row>
    <row r="107">
      <c r="A107" s="7" t="inlineStr">
        <is>
          <t>Finland</t>
        </is>
      </c>
      <c r="B107" t="inlineStr">
        <is>
          <t>EU</t>
        </is>
      </c>
      <c r="C107" s="7" t="n">
        <v>106</v>
      </c>
      <c r="D107" s="7" t="inlineStr">
        <is>
          <t>Lifeline Ventures</t>
        </is>
      </c>
      <c r="E107" s="7" t="inlineStr">
        <is>
          <t>CLIMATE</t>
        </is>
      </c>
      <c r="F107" s="8" t="inlineStr">
        <is>
          <t>YES</t>
        </is>
      </c>
      <c r="G107" s="7">
        <f>HYPERLINK("http://www.lifelineventures.com", "www.lifelineventures.com")</f>
        <v/>
      </c>
      <c r="H107" s="7" t="inlineStr">
        <is>
          <t>AUM: $639.0B | Portfolio: 92 companies</t>
        </is>
      </c>
      <c r="I107" s="7" t="inlineStr">
        <is>
          <t>PitchBook</t>
        </is>
      </c>
    </row>
    <row r="108">
      <c r="A108" s="7" t="inlineStr">
        <is>
          <t>Norway</t>
        </is>
      </c>
      <c r="B108" t="inlineStr">
        <is>
          <t>EU</t>
        </is>
      </c>
      <c r="C108" s="7" t="n">
        <v>107</v>
      </c>
      <c r="D108" s="7" t="inlineStr">
        <is>
          <t>Equinor Ventures</t>
        </is>
      </c>
      <c r="E108" s="7" t="inlineStr">
        <is>
          <t>CLIMATE</t>
        </is>
      </c>
      <c r="F108" s="8" t="inlineStr">
        <is>
          <t>YES</t>
        </is>
      </c>
      <c r="G108" s="7" t="inlineStr"/>
      <c r="H108" s="7" t="inlineStr">
        <is>
          <t>AUM: $596.9B | Portfolio: 58 companies</t>
        </is>
      </c>
      <c r="I108" s="7" t="inlineStr">
        <is>
          <t>PitchBook</t>
        </is>
      </c>
    </row>
    <row r="109">
      <c r="A109" s="7" t="inlineStr">
        <is>
          <t>IA</t>
        </is>
      </c>
      <c r="B109" t="inlineStr">
        <is>
          <t>US</t>
        </is>
      </c>
      <c r="C109" s="7" t="n">
        <v>108</v>
      </c>
      <c r="D109" s="7" t="inlineStr">
        <is>
          <t>Next Level Ventures</t>
        </is>
      </c>
      <c r="E109" s="7" t="inlineStr">
        <is>
          <t>FOOD</t>
        </is>
      </c>
      <c r="F109" s="8" t="inlineStr">
        <is>
          <t>YES</t>
        </is>
      </c>
      <c r="G109" s="7">
        <f>HYPERLINK("http://www.nextlevelvc.com", "www.nextlevelvc.com")</f>
        <v/>
      </c>
      <c r="H109" s="7" t="inlineStr">
        <is>
          <t>AUM: $596.9B | Portfolio: 69 companies</t>
        </is>
      </c>
      <c r="I109" s="7" t="inlineStr">
        <is>
          <t>PitchBook</t>
        </is>
      </c>
    </row>
    <row r="110">
      <c r="A110" s="7" t="inlineStr">
        <is>
          <t>Hungary</t>
        </is>
      </c>
      <c r="B110" t="inlineStr">
        <is>
          <t>EU</t>
        </is>
      </c>
      <c r="C110" s="7" t="n">
        <v>109</v>
      </c>
      <c r="D110" s="7" t="inlineStr">
        <is>
          <t>Hiventures</t>
        </is>
      </c>
      <c r="E110" s="7" t="inlineStr">
        <is>
          <t>CLIMATE</t>
        </is>
      </c>
      <c r="F110" s="8" t="inlineStr">
        <is>
          <t>YES</t>
        </is>
      </c>
      <c r="G110" s="7">
        <f>HYPERLINK("http://www.hiventures.hu", "www.hiventures.hu")</f>
        <v/>
      </c>
      <c r="H110" s="7" t="inlineStr">
        <is>
          <t>AUM: $563.8B | Portfolio: 251 companies</t>
        </is>
      </c>
      <c r="I110" s="7" t="inlineStr">
        <is>
          <t>PitchBook</t>
        </is>
      </c>
    </row>
    <row r="111">
      <c r="A111" s="7" t="inlineStr">
        <is>
          <t>Canada</t>
        </is>
      </c>
      <c r="B111" t="inlineStr">
        <is>
          <t>Other</t>
        </is>
      </c>
      <c r="C111" s="7" t="n">
        <v>110</v>
      </c>
      <c r="D111" s="7" t="inlineStr">
        <is>
          <t>ArcTern Ventures</t>
        </is>
      </c>
      <c r="E111" s="7" t="inlineStr">
        <is>
          <t>CLIMATE</t>
        </is>
      </c>
      <c r="F111" s="8" t="inlineStr">
        <is>
          <t>YES</t>
        </is>
      </c>
      <c r="G111" s="7">
        <f>HYPERLINK("http://www.arcternventures.com", "www.arcternventures.com")</f>
        <v/>
      </c>
      <c r="H111" s="7" t="inlineStr">
        <is>
          <t>AUM: $554.2B | Portfolio: 31 companies</t>
        </is>
      </c>
      <c r="I111" s="7" t="inlineStr">
        <is>
          <t>PitchBook</t>
        </is>
      </c>
    </row>
    <row r="112">
      <c r="A112" s="7" t="inlineStr">
        <is>
          <t>India</t>
        </is>
      </c>
      <c r="B112" t="inlineStr">
        <is>
          <t>Other</t>
        </is>
      </c>
      <c r="C112" s="7" t="n">
        <v>111</v>
      </c>
      <c r="D112" s="7" t="inlineStr">
        <is>
          <t>Kalaari Capital</t>
        </is>
      </c>
      <c r="E112" s="7" t="inlineStr">
        <is>
          <t>CLIMATE</t>
        </is>
      </c>
      <c r="F112" s="8" t="inlineStr">
        <is>
          <t>YES</t>
        </is>
      </c>
      <c r="G112" s="7">
        <f>HYPERLINK("http://www.kalaari.com", "www.kalaari.com")</f>
        <v/>
      </c>
      <c r="H112" s="7" t="inlineStr">
        <is>
          <t>AUM: $554.2B | Portfolio: 85 companies</t>
        </is>
      </c>
      <c r="I112" s="7" t="inlineStr">
        <is>
          <t>PitchBook</t>
        </is>
      </c>
    </row>
    <row r="113">
      <c r="A113" s="7" t="inlineStr">
        <is>
          <t>IL</t>
        </is>
      </c>
      <c r="B113" t="inlineStr">
        <is>
          <t>Other</t>
        </is>
      </c>
      <c r="C113" s="7" t="n">
        <v>112</v>
      </c>
      <c r="D113" s="7" t="inlineStr">
        <is>
          <t>MDT Ventures</t>
        </is>
      </c>
      <c r="E113" s="7" t="inlineStr">
        <is>
          <t>CLIMATE</t>
        </is>
      </c>
      <c r="F113" s="8" t="inlineStr">
        <is>
          <t>YES</t>
        </is>
      </c>
      <c r="G113" s="7">
        <f>HYPERLINK("http://www.mdtventures.com", "www.mdtventures.com")</f>
        <v/>
      </c>
      <c r="H113" s="7" t="inlineStr">
        <is>
          <t>AUM: $554.2B | Portfolio: 1 companies</t>
        </is>
      </c>
      <c r="I113" s="7" t="inlineStr">
        <is>
          <t>PitchBook</t>
        </is>
      </c>
    </row>
    <row r="114">
      <c r="A114" s="7" t="inlineStr">
        <is>
          <t>Germany</t>
        </is>
      </c>
      <c r="B114" t="inlineStr">
        <is>
          <t>EU</t>
        </is>
      </c>
      <c r="C114" s="7" t="n">
        <v>113</v>
      </c>
      <c r="D114" s="7" t="inlineStr">
        <is>
          <t>CommerzVentures</t>
        </is>
      </c>
      <c r="E114" s="7" t="inlineStr">
        <is>
          <t>IND-AI</t>
        </is>
      </c>
      <c r="F114" s="8" t="inlineStr">
        <is>
          <t>YES</t>
        </is>
      </c>
      <c r="G114" s="7">
        <f>HYPERLINK("http://www.commerzventures.com", "www.commerzventures.com")</f>
        <v/>
      </c>
      <c r="H114" s="7" t="inlineStr">
        <is>
          <t>AUM: $550.0B | Portfolio: 29 companies</t>
        </is>
      </c>
      <c r="I114" s="7" t="inlineStr">
        <is>
          <t>PitchBook</t>
        </is>
      </c>
    </row>
    <row r="115">
      <c r="A115" s="7" t="inlineStr">
        <is>
          <t>France</t>
        </is>
      </c>
      <c r="B115" t="inlineStr">
        <is>
          <t>EU</t>
        </is>
      </c>
      <c r="C115" s="7" t="n">
        <v>114</v>
      </c>
      <c r="D115" s="7" t="inlineStr">
        <is>
          <t>IRDI Gestion</t>
        </is>
      </c>
      <c r="E115" s="7" t="inlineStr">
        <is>
          <t>CLIMATE</t>
        </is>
      </c>
      <c r="F115" s="8" t="inlineStr">
        <is>
          <t>YES</t>
        </is>
      </c>
      <c r="G115" s="7">
        <f>HYPERLINK("http://www.irdigestion.fr", "www.irdigestion.fr")</f>
        <v/>
      </c>
      <c r="H115" s="7" t="inlineStr">
        <is>
          <t>AUM: $550.0B | Portfolio: 9 companies</t>
        </is>
      </c>
      <c r="I115" s="7" t="inlineStr">
        <is>
          <t>PitchBook</t>
        </is>
      </c>
    </row>
    <row r="116">
      <c r="A116" s="7" t="inlineStr">
        <is>
          <t>NY</t>
        </is>
      </c>
      <c r="B116" t="inlineStr">
        <is>
          <t>US</t>
        </is>
      </c>
      <c r="C116" s="7" t="n">
        <v>115</v>
      </c>
      <c r="D116" s="7" t="inlineStr">
        <is>
          <t>Life Extension Ventures</t>
        </is>
      </c>
      <c r="E116" s="7" t="inlineStr">
        <is>
          <t>CLIMATE</t>
        </is>
      </c>
      <c r="F116" s="8" t="inlineStr">
        <is>
          <t>YES</t>
        </is>
      </c>
      <c r="G116" s="7">
        <f>HYPERLINK("http://www.lifex.vc", "www.lifex.vc")</f>
        <v/>
      </c>
      <c r="H116" s="7" t="inlineStr">
        <is>
          <t>AUM: $526.9B | Portfolio: 59 companies</t>
        </is>
      </c>
      <c r="I116" s="7" t="inlineStr">
        <is>
          <t>PitchBook</t>
        </is>
      </c>
    </row>
    <row r="117">
      <c r="A117" s="7" t="inlineStr">
        <is>
          <t>United Kingdom</t>
        </is>
      </c>
      <c r="B117" t="inlineStr">
        <is>
          <t>EU</t>
        </is>
      </c>
      <c r="C117" s="7" t="n">
        <v>116</v>
      </c>
      <c r="D117" s="7" t="inlineStr">
        <is>
          <t>Parkwalk Advisors</t>
        </is>
      </c>
      <c r="E117" s="7" t="inlineStr">
        <is>
          <t>CLIMATE</t>
        </is>
      </c>
      <c r="F117" s="8" t="inlineStr">
        <is>
          <t>YES</t>
        </is>
      </c>
      <c r="G117" s="7">
        <f>HYPERLINK("http://www.parkwalk.vc", "www.parkwalk.vc")</f>
        <v/>
      </c>
      <c r="H117" s="7" t="inlineStr">
        <is>
          <t>AUM: $518.5B | Portfolio: 134 companies</t>
        </is>
      </c>
      <c r="I117" s="7" t="inlineStr">
        <is>
          <t>PitchBook</t>
        </is>
      </c>
    </row>
    <row r="118">
      <c r="A118" s="7" t="inlineStr">
        <is>
          <t>Japan</t>
        </is>
      </c>
      <c r="B118" t="inlineStr">
        <is>
          <t>JP</t>
        </is>
      </c>
      <c r="C118" s="7" t="n">
        <v>117</v>
      </c>
      <c r="D118" s="7" t="inlineStr">
        <is>
          <t>DG Ventures</t>
        </is>
      </c>
      <c r="E118" s="7" t="inlineStr">
        <is>
          <t>CLIMATE</t>
        </is>
      </c>
      <c r="F118" s="8" t="inlineStr">
        <is>
          <t>YES</t>
        </is>
      </c>
      <c r="G118" s="7">
        <f>HYPERLINK("http://www.dgventures.com", "www.dgventures.com")</f>
        <v/>
      </c>
      <c r="H118" s="7" t="inlineStr">
        <is>
          <t>AUM: $511.6B | Portfolio: 144 companies</t>
        </is>
      </c>
      <c r="I118" s="7" t="inlineStr">
        <is>
          <t>PitchBook</t>
        </is>
      </c>
    </row>
    <row r="119">
      <c r="A119" s="7" t="inlineStr">
        <is>
          <t>NY</t>
        </is>
      </c>
      <c r="B119" t="inlineStr">
        <is>
          <t>US</t>
        </is>
      </c>
      <c r="C119" s="7" t="n">
        <v>118</v>
      </c>
      <c r="D119" s="7" t="inlineStr">
        <is>
          <t>Harmony Partners</t>
        </is>
      </c>
      <c r="E119" s="7" t="inlineStr">
        <is>
          <t>IND-AI</t>
        </is>
      </c>
      <c r="F119" s="8" t="inlineStr">
        <is>
          <t>YES</t>
        </is>
      </c>
      <c r="G119" s="7">
        <f>HYPERLINK("http://www.harmonyvp.com", "www.harmonyvp.com")</f>
        <v/>
      </c>
      <c r="H119" s="7" t="inlineStr">
        <is>
          <t>AUM: $511.6B | Portfolio: 41 companies</t>
        </is>
      </c>
      <c r="I119" s="7" t="inlineStr">
        <is>
          <t>PitchBook</t>
        </is>
      </c>
    </row>
    <row r="120">
      <c r="A120" s="7" t="inlineStr">
        <is>
          <t>IL</t>
        </is>
      </c>
      <c r="B120" t="inlineStr">
        <is>
          <t>Other</t>
        </is>
      </c>
      <c r="C120" s="7" t="n">
        <v>119</v>
      </c>
      <c r="D120" s="7" t="inlineStr">
        <is>
          <t>Moderne Ventures</t>
        </is>
      </c>
      <c r="E120" s="7" t="inlineStr">
        <is>
          <t>CLIMATE</t>
        </is>
      </c>
      <c r="F120" s="8" t="inlineStr">
        <is>
          <t>YES</t>
        </is>
      </c>
      <c r="G120" s="7">
        <f>HYPERLINK("http://www.moderneventures.com", "www.moderneventures.com")</f>
        <v/>
      </c>
      <c r="H120" s="7" t="inlineStr">
        <is>
          <t>AUM: $511.6B | Portfolio: 102 companies</t>
        </is>
      </c>
      <c r="I120" s="7" t="inlineStr">
        <is>
          <t>PitchBook</t>
        </is>
      </c>
    </row>
    <row r="121">
      <c r="A121" s="7" t="inlineStr">
        <is>
          <t>Italy</t>
        </is>
      </c>
      <c r="B121" t="inlineStr">
        <is>
          <t>EU</t>
        </is>
      </c>
      <c r="C121" s="7" t="n">
        <v>120</v>
      </c>
      <c r="D121" s="7" t="inlineStr">
        <is>
          <t>NEVA SGR</t>
        </is>
      </c>
      <c r="E121" s="7" t="inlineStr">
        <is>
          <t>CLIMATE</t>
        </is>
      </c>
      <c r="F121" s="8" t="inlineStr">
        <is>
          <t>YES</t>
        </is>
      </c>
      <c r="G121" s="7">
        <f>HYPERLINK("http://www.nevasgr.com", "www.nevasgr.com")</f>
        <v/>
      </c>
      <c r="H121" s="7" t="inlineStr">
        <is>
          <t>AUM: $500.0B | Portfolio: 35 companies</t>
        </is>
      </c>
      <c r="I121" s="7" t="inlineStr">
        <is>
          <t>PitchBook</t>
        </is>
      </c>
    </row>
    <row r="122">
      <c r="A122" s="7" t="inlineStr">
        <is>
          <t>United Kingdom</t>
        </is>
      </c>
      <c r="B122" t="inlineStr">
        <is>
          <t>EU</t>
        </is>
      </c>
      <c r="C122" s="7" t="n">
        <v>121</v>
      </c>
      <c r="D122" s="7" t="inlineStr">
        <is>
          <t>2150</t>
        </is>
      </c>
      <c r="E122" s="7" t="inlineStr">
        <is>
          <t>CLIMATE</t>
        </is>
      </c>
      <c r="F122" s="8" t="inlineStr">
        <is>
          <t>YES</t>
        </is>
      </c>
      <c r="G122" s="7">
        <f>HYPERLINK("http://www.2150.vc", "www.2150.vc")</f>
        <v/>
      </c>
      <c r="H122" s="7" t="inlineStr">
        <is>
          <t>AUM: $477.0B | Portfolio: 23 companies</t>
        </is>
      </c>
      <c r="I122" s="7" t="inlineStr">
        <is>
          <t>PitchBook</t>
        </is>
      </c>
    </row>
    <row r="123">
      <c r="A123" s="7" t="inlineStr">
        <is>
          <t>France</t>
        </is>
      </c>
      <c r="B123" t="inlineStr">
        <is>
          <t>EU</t>
        </is>
      </c>
      <c r="C123" s="7" t="n">
        <v>122</v>
      </c>
      <c r="D123" s="7" t="inlineStr">
        <is>
          <t>Ring Capital</t>
        </is>
      </c>
      <c r="E123" s="7" t="inlineStr">
        <is>
          <t>CLIMATE</t>
        </is>
      </c>
      <c r="F123" s="8" t="inlineStr">
        <is>
          <t>YES</t>
        </is>
      </c>
      <c r="G123" s="7">
        <f>HYPERLINK("http://www.ringcp.com", "www.ringcp.com")</f>
        <v/>
      </c>
      <c r="H123" s="7" t="inlineStr">
        <is>
          <t>AUM: $470.0B | Portfolio: 70 companies</t>
        </is>
      </c>
      <c r="I123" s="7" t="inlineStr">
        <is>
          <t>PitchBook</t>
        </is>
      </c>
    </row>
    <row r="124">
      <c r="A124" s="7" t="inlineStr">
        <is>
          <t>NY</t>
        </is>
      </c>
      <c r="B124" t="inlineStr">
        <is>
          <t>US</t>
        </is>
      </c>
      <c r="C124" s="7" t="n">
        <v>123</v>
      </c>
      <c r="D124" s="7" t="inlineStr">
        <is>
          <t>Closed Loop Partners</t>
        </is>
      </c>
      <c r="E124" s="7" t="inlineStr">
        <is>
          <t>FOOD</t>
        </is>
      </c>
      <c r="F124" s="8" t="inlineStr">
        <is>
          <t>YES</t>
        </is>
      </c>
      <c r="G124" s="7">
        <f>HYPERLINK("http://www.closedlooppartners.com", "www.closedlooppartners.com")</f>
        <v/>
      </c>
      <c r="H124" s="7" t="inlineStr">
        <is>
          <t>AUM: $469.0B | Portfolio: 59 companies</t>
        </is>
      </c>
      <c r="I124" s="7" t="inlineStr">
        <is>
          <t>PitchBook</t>
        </is>
      </c>
    </row>
    <row r="125">
      <c r="A125" s="7" t="inlineStr">
        <is>
          <t>Germany</t>
        </is>
      </c>
      <c r="B125" t="inlineStr">
        <is>
          <t>EU</t>
        </is>
      </c>
      <c r="C125" s="7" t="n">
        <v>124</v>
      </c>
      <c r="D125" s="7" t="inlineStr">
        <is>
          <t>bm-t Beteiligungsmanagement Thuringen</t>
        </is>
      </c>
      <c r="E125" s="7" t="inlineStr">
        <is>
          <t>CLIMATE</t>
        </is>
      </c>
      <c r="F125" s="8" t="inlineStr">
        <is>
          <t>YES</t>
        </is>
      </c>
      <c r="G125" s="7">
        <f>HYPERLINK("http://bm-t.de", "bm-t.de")</f>
        <v/>
      </c>
      <c r="H125" s="7" t="inlineStr">
        <is>
          <t>AUM: $465.0B | Portfolio: 54 companies</t>
        </is>
      </c>
      <c r="I125" s="7" t="inlineStr">
        <is>
          <t>PitchBook</t>
        </is>
      </c>
    </row>
    <row r="126">
      <c r="A126" s="7" t="inlineStr">
        <is>
          <t>NY</t>
        </is>
      </c>
      <c r="B126" t="inlineStr">
        <is>
          <t>US</t>
        </is>
      </c>
      <c r="C126" s="7" t="n">
        <v>125</v>
      </c>
      <c r="D126" s="7" t="inlineStr">
        <is>
          <t>Alpha Partners</t>
        </is>
      </c>
      <c r="E126" s="7" t="inlineStr">
        <is>
          <t>CLIMATE</t>
        </is>
      </c>
      <c r="F126" s="8" t="inlineStr">
        <is>
          <t>YES</t>
        </is>
      </c>
      <c r="G126" s="7">
        <f>HYPERLINK("http://www.alphapartners.com", "www.alphapartners.com")</f>
        <v/>
      </c>
      <c r="H126" s="7" t="inlineStr">
        <is>
          <t>AUM: $457.9B | Portfolio: 27 companies</t>
        </is>
      </c>
      <c r="I126" s="7" t="inlineStr">
        <is>
          <t>PitchBook</t>
        </is>
      </c>
    </row>
    <row r="127">
      <c r="A127" s="7" t="inlineStr">
        <is>
          <t>Germany</t>
        </is>
      </c>
      <c r="B127" t="inlineStr">
        <is>
          <t>EU</t>
        </is>
      </c>
      <c r="C127" s="7" t="n">
        <v>126</v>
      </c>
      <c r="D127" s="7" t="inlineStr">
        <is>
          <t>BMH Beteiligungs-Managementgesellschaft Hessen</t>
        </is>
      </c>
      <c r="E127" s="7" t="inlineStr">
        <is>
          <t>CLIMATE</t>
        </is>
      </c>
      <c r="F127" s="8" t="inlineStr">
        <is>
          <t>YES</t>
        </is>
      </c>
      <c r="G127" s="7">
        <f>HYPERLINK("http://www.bmh-hessen.de", "www.bmh-hessen.de")</f>
        <v/>
      </c>
      <c r="H127" s="7" t="inlineStr">
        <is>
          <t>AUM: $450.0B | Portfolio: 107 companies</t>
        </is>
      </c>
      <c r="I127" s="7" t="inlineStr">
        <is>
          <t>PitchBook</t>
        </is>
      </c>
    </row>
    <row r="128">
      <c r="A128" s="7" t="inlineStr">
        <is>
          <t>Belgium</t>
        </is>
      </c>
      <c r="B128" t="inlineStr">
        <is>
          <t>EU</t>
        </is>
      </c>
      <c r="C128" s="7" t="n">
        <v>127</v>
      </c>
      <c r="D128" s="7" t="inlineStr">
        <is>
          <t>Capricorn Partners</t>
        </is>
      </c>
      <c r="E128" s="7" t="inlineStr">
        <is>
          <t>CHEM</t>
        </is>
      </c>
      <c r="F128" s="8" t="inlineStr">
        <is>
          <t>YES</t>
        </is>
      </c>
      <c r="G128" s="7">
        <f>HYPERLINK("http://www.capricorn.be", "www.capricorn.be")</f>
        <v/>
      </c>
      <c r="H128" s="7" t="inlineStr">
        <is>
          <t>AUM: $450.0B | Portfolio: 45 companies</t>
        </is>
      </c>
      <c r="I128" s="7" t="inlineStr">
        <is>
          <t>PitchBook</t>
        </is>
      </c>
    </row>
    <row r="129">
      <c r="A129" s="7" t="inlineStr">
        <is>
          <t>Denmark</t>
        </is>
      </c>
      <c r="B129" t="inlineStr">
        <is>
          <t>EU</t>
        </is>
      </c>
      <c r="C129" s="7" t="n">
        <v>128</v>
      </c>
      <c r="D129" s="7" t="inlineStr">
        <is>
          <t>Fiftyfive Capital (Copenhagen)</t>
        </is>
      </c>
      <c r="E129" s="7" t="inlineStr">
        <is>
          <t>FOOD</t>
        </is>
      </c>
      <c r="F129" s="8" t="inlineStr">
        <is>
          <t>YES</t>
        </is>
      </c>
      <c r="G129" s="7">
        <f>HYPERLINK("http://www.fiftyfive-capital.com", "www.fiftyfive-capital.com")</f>
        <v/>
      </c>
      <c r="H129" s="7" t="inlineStr">
        <is>
          <t>AUM: $450.0B | Portfolio: 21 companies</t>
        </is>
      </c>
      <c r="I129" s="7" t="inlineStr">
        <is>
          <t>PitchBook</t>
        </is>
      </c>
    </row>
    <row r="130">
      <c r="A130" s="7" t="inlineStr">
        <is>
          <t>China</t>
        </is>
      </c>
      <c r="B130" t="inlineStr">
        <is>
          <t>Other</t>
        </is>
      </c>
      <c r="C130" s="7" t="n">
        <v>129</v>
      </c>
      <c r="D130" s="7" t="inlineStr">
        <is>
          <t>GRC SinoGreen Fund</t>
        </is>
      </c>
      <c r="E130" s="7" t="inlineStr">
        <is>
          <t>CLIMATE</t>
        </is>
      </c>
      <c r="F130" s="8" t="inlineStr">
        <is>
          <t>YES</t>
        </is>
      </c>
      <c r="G130" s="7">
        <f>HYPERLINK("http://www.grcfunds.com", "www.grcfunds.com")</f>
        <v/>
      </c>
      <c r="H130" s="7" t="inlineStr">
        <is>
          <t>AUM: $447.2B | Portfolio: 28 companies</t>
        </is>
      </c>
      <c r="I130" s="7" t="inlineStr">
        <is>
          <t>PitchBook</t>
        </is>
      </c>
    </row>
    <row r="131">
      <c r="A131" s="7" t="inlineStr">
        <is>
          <t>Germany</t>
        </is>
      </c>
      <c r="B131" t="inlineStr">
        <is>
          <t>EU</t>
        </is>
      </c>
      <c r="C131" s="7" t="n">
        <v>130</v>
      </c>
      <c r="D131" s="7" t="inlineStr">
        <is>
          <t>Redstone VC</t>
        </is>
      </c>
      <c r="E131" s="7" t="inlineStr">
        <is>
          <t>CLIMATE</t>
        </is>
      </c>
      <c r="F131" s="8" t="inlineStr">
        <is>
          <t>YES</t>
        </is>
      </c>
      <c r="G131" s="7">
        <f>HYPERLINK("http://www.redstone.vc", "www.redstone.vc")</f>
        <v/>
      </c>
      <c r="H131" s="7" t="inlineStr">
        <is>
          <t>AUM: $430.6B | Portfolio: 140 companies</t>
        </is>
      </c>
      <c r="I131" s="7" t="inlineStr">
        <is>
          <t>PitchBook</t>
        </is>
      </c>
    </row>
    <row r="132">
      <c r="A132" s="7" t="inlineStr">
        <is>
          <t>France</t>
        </is>
      </c>
      <c r="B132" t="inlineStr">
        <is>
          <t>EU</t>
        </is>
      </c>
      <c r="C132" s="7" t="n">
        <v>131</v>
      </c>
      <c r="D132" s="7" t="inlineStr">
        <is>
          <t>Alven Capital Partners</t>
        </is>
      </c>
      <c r="E132" s="7" t="inlineStr">
        <is>
          <t>IND-AI</t>
        </is>
      </c>
      <c r="F132" s="8" t="inlineStr">
        <is>
          <t>YES</t>
        </is>
      </c>
      <c r="G132" s="7">
        <f>HYPERLINK("http://www.alven.co", "www.alven.co")</f>
        <v/>
      </c>
      <c r="H132" s="7" t="inlineStr">
        <is>
          <t>AUM: $426.3B | Portfolio: 91 companies</t>
        </is>
      </c>
      <c r="I132" s="7" t="inlineStr">
        <is>
          <t>PitchBook</t>
        </is>
      </c>
    </row>
    <row r="133">
      <c r="A133" s="7" t="inlineStr">
        <is>
          <t>CA</t>
        </is>
      </c>
      <c r="B133" t="inlineStr">
        <is>
          <t>US</t>
        </is>
      </c>
      <c r="C133" s="7" t="n">
        <v>132</v>
      </c>
      <c r="D133" s="7" t="inlineStr">
        <is>
          <t>At One Ventures</t>
        </is>
      </c>
      <c r="E133" s="7" t="inlineStr">
        <is>
          <t>CLIMATE</t>
        </is>
      </c>
      <c r="F133" s="8" t="inlineStr">
        <is>
          <t>YES</t>
        </is>
      </c>
      <c r="G133" s="7">
        <f>HYPERLINK("http://www.atoneventures.com", "www.atoneventures.com")</f>
        <v/>
      </c>
      <c r="H133" s="7" t="inlineStr">
        <is>
          <t>AUM: $426.3B | Portfolio: 49 companies</t>
        </is>
      </c>
      <c r="I133" s="7" t="inlineStr">
        <is>
          <t>PitchBook</t>
        </is>
      </c>
    </row>
    <row r="134">
      <c r="A134" s="7" t="inlineStr">
        <is>
          <t>CA</t>
        </is>
      </c>
      <c r="B134" t="inlineStr">
        <is>
          <t>US</t>
        </is>
      </c>
      <c r="C134" s="7" t="n">
        <v>133</v>
      </c>
      <c r="D134" s="7" t="inlineStr">
        <is>
          <t>Correlation Ventures</t>
        </is>
      </c>
      <c r="E134" s="7" t="inlineStr">
        <is>
          <t>CLIMATE</t>
        </is>
      </c>
      <c r="F134" s="8" t="inlineStr">
        <is>
          <t>YES</t>
        </is>
      </c>
      <c r="G134" s="7">
        <f>HYPERLINK("http://www.correlationvc.com", "www.correlationvc.com")</f>
        <v/>
      </c>
      <c r="H134" s="7" t="inlineStr">
        <is>
          <t>AUM: $426.3B | Portfolio: 213 companies</t>
        </is>
      </c>
      <c r="I134" s="7" t="inlineStr">
        <is>
          <t>PitchBook</t>
        </is>
      </c>
    </row>
    <row r="135">
      <c r="A135" s="7" t="inlineStr">
        <is>
          <t>United Kingdom</t>
        </is>
      </c>
      <c r="B135" t="inlineStr">
        <is>
          <t>EU</t>
        </is>
      </c>
      <c r="C135" s="7" t="n">
        <v>134</v>
      </c>
      <c r="D135" s="7" t="inlineStr">
        <is>
          <t>Firstminute Capital</t>
        </is>
      </c>
      <c r="E135" s="7" t="inlineStr">
        <is>
          <t>CLIMATE</t>
        </is>
      </c>
      <c r="F135" s="8" t="inlineStr">
        <is>
          <t>YES</t>
        </is>
      </c>
      <c r="G135" s="7">
        <f>HYPERLINK("http://www.firstminute.capital", "www.firstminute.capital")</f>
        <v/>
      </c>
      <c r="H135" s="7" t="inlineStr">
        <is>
          <t>AUM: $426.3B | Portfolio: 132 companies</t>
        </is>
      </c>
      <c r="I135" s="7" t="inlineStr">
        <is>
          <t>PitchBook</t>
        </is>
      </c>
    </row>
    <row r="136">
      <c r="A136" s="7" t="inlineStr">
        <is>
          <t>CO</t>
        </is>
      </c>
      <c r="B136" t="inlineStr">
        <is>
          <t>US</t>
        </is>
      </c>
      <c r="C136" s="7" t="n">
        <v>135</v>
      </c>
      <c r="D136" s="7" t="inlineStr">
        <is>
          <t>Grimley Capital</t>
        </is>
      </c>
      <c r="E136" s="7" t="inlineStr">
        <is>
          <t>CLIMATE</t>
        </is>
      </c>
      <c r="F136" s="8" t="inlineStr">
        <is>
          <t>YES</t>
        </is>
      </c>
      <c r="G136" s="7">
        <f>HYPERLINK("http://www.grimleycapital.com", "www.grimleycapital.com")</f>
        <v/>
      </c>
      <c r="H136" s="7" t="inlineStr">
        <is>
          <t>AUM: $426.3B | Portfolio: 16 companies</t>
        </is>
      </c>
      <c r="I136" s="7" t="inlineStr">
        <is>
          <t>PitchBook</t>
        </is>
      </c>
    </row>
    <row r="137">
      <c r="A137" s="7" t="inlineStr">
        <is>
          <t>NY</t>
        </is>
      </c>
      <c r="B137" t="inlineStr">
        <is>
          <t>US</t>
        </is>
      </c>
      <c r="C137" s="7" t="n">
        <v>136</v>
      </c>
      <c r="D137" s="7" t="inlineStr">
        <is>
          <t>Inspired Capital (New York)</t>
        </is>
      </c>
      <c r="E137" s="7" t="inlineStr">
        <is>
          <t>IND-AI</t>
        </is>
      </c>
      <c r="F137" s="8" t="inlineStr">
        <is>
          <t>YES</t>
        </is>
      </c>
      <c r="G137" s="7">
        <f>HYPERLINK("http://www.inspiredcapital.com", "www.inspiredcapital.com")</f>
        <v/>
      </c>
      <c r="H137" s="7" t="inlineStr">
        <is>
          <t>AUM: $426.3B | Portfolio: 75 companies</t>
        </is>
      </c>
      <c r="I137" s="7" t="inlineStr">
        <is>
          <t>PitchBook</t>
        </is>
      </c>
    </row>
    <row r="138">
      <c r="A138" s="7" t="inlineStr">
        <is>
          <t>CA</t>
        </is>
      </c>
      <c r="B138" t="inlineStr">
        <is>
          <t>US</t>
        </is>
      </c>
      <c r="C138" s="7" t="n">
        <v>137</v>
      </c>
      <c r="D138" s="7" t="inlineStr">
        <is>
          <t>Piva Capital</t>
        </is>
      </c>
      <c r="E138" s="7" t="inlineStr">
        <is>
          <t>CLIMATE</t>
        </is>
      </c>
      <c r="F138" s="8" t="inlineStr">
        <is>
          <t>YES</t>
        </is>
      </c>
      <c r="G138" s="7">
        <f>HYPERLINK("http://www.piva.vc", "www.piva.vc")</f>
        <v/>
      </c>
      <c r="H138" s="7" t="inlineStr">
        <is>
          <t>AUM: $426.3B | Portfolio: 17 companies</t>
        </is>
      </c>
      <c r="I138" s="7" t="inlineStr">
        <is>
          <t>PitchBook</t>
        </is>
      </c>
    </row>
    <row r="139">
      <c r="A139" s="7" t="inlineStr">
        <is>
          <t>FL</t>
        </is>
      </c>
      <c r="B139" t="inlineStr">
        <is>
          <t>US</t>
        </is>
      </c>
      <c r="C139" s="7" t="n">
        <v>138</v>
      </c>
      <c r="D139" s="7" t="inlineStr">
        <is>
          <t>Snowpoint Ventures</t>
        </is>
      </c>
      <c r="E139" s="7" t="inlineStr">
        <is>
          <t>CLIMATE</t>
        </is>
      </c>
      <c r="F139" s="8" t="inlineStr">
        <is>
          <t>YES</t>
        </is>
      </c>
      <c r="G139" s="7">
        <f>HYPERLINK("http://www.snowpoint.com", "www.snowpoint.com")</f>
        <v/>
      </c>
      <c r="H139" s="7" t="inlineStr">
        <is>
          <t>AUM: $426.3B | Portfolio: 9 companies</t>
        </is>
      </c>
      <c r="I139" s="7" t="inlineStr">
        <is>
          <t>PitchBook</t>
        </is>
      </c>
    </row>
    <row r="140">
      <c r="A140" s="7" t="inlineStr">
        <is>
          <t>Malaysia</t>
        </is>
      </c>
      <c r="B140" t="inlineStr">
        <is>
          <t>Other</t>
        </is>
      </c>
      <c r="C140" s="7" t="n">
        <v>139</v>
      </c>
      <c r="D140" s="7" t="inlineStr">
        <is>
          <t>Xeraya Capital</t>
        </is>
      </c>
      <c r="E140" s="7" t="inlineStr">
        <is>
          <t>FOOD</t>
        </is>
      </c>
      <c r="F140" s="8" t="inlineStr">
        <is>
          <t>YES</t>
        </is>
      </c>
      <c r="G140" s="7">
        <f>HYPERLINK("http://www.xeraya.com", "www.xeraya.com")</f>
        <v/>
      </c>
      <c r="H140" s="7" t="inlineStr">
        <is>
          <t>AUM: $426.3B | Portfolio: 12 companies</t>
        </is>
      </c>
      <c r="I140" s="7" t="inlineStr">
        <is>
          <t>PitchBook</t>
        </is>
      </c>
    </row>
    <row r="141">
      <c r="A141" s="7" t="inlineStr">
        <is>
          <t>Switzerland</t>
        </is>
      </c>
      <c r="B141" t="inlineStr">
        <is>
          <t>EU</t>
        </is>
      </c>
      <c r="C141" s="7" t="n">
        <v>140</v>
      </c>
      <c r="D141" s="7" t="inlineStr">
        <is>
          <t>Vi Partners</t>
        </is>
      </c>
      <c r="E141" s="7" t="inlineStr">
        <is>
          <t>IND-AI</t>
        </is>
      </c>
      <c r="F141" s="8" t="inlineStr">
        <is>
          <t>YES</t>
        </is>
      </c>
      <c r="G141" s="7">
        <f>HYPERLINK("http://www.vipartners.ch", "www.vipartners.ch")</f>
        <v/>
      </c>
      <c r="H141" s="7" t="inlineStr">
        <is>
          <t>AUM: $423.4B | Portfolio: 31 companies</t>
        </is>
      </c>
      <c r="I141" s="7" t="inlineStr">
        <is>
          <t>PitchBook</t>
        </is>
      </c>
    </row>
    <row r="142">
      <c r="A142" s="7" t="inlineStr">
        <is>
          <t>United Kingdom</t>
        </is>
      </c>
      <c r="B142" t="inlineStr">
        <is>
          <t>EU</t>
        </is>
      </c>
      <c r="C142" s="7" t="n">
        <v>141</v>
      </c>
      <c r="D142" s="7" t="inlineStr">
        <is>
          <t>The FSE Group</t>
        </is>
      </c>
      <c r="E142" s="7" t="inlineStr">
        <is>
          <t>CLIMATE</t>
        </is>
      </c>
      <c r="F142" s="8" t="inlineStr">
        <is>
          <t>YES</t>
        </is>
      </c>
      <c r="G142" s="7">
        <f>HYPERLINK("http://www.thefsegroup.com", "www.thefsegroup.com")</f>
        <v/>
      </c>
      <c r="H142" s="7" t="inlineStr">
        <is>
          <t>AUM: $418.2B | Portfolio: 280 companies</t>
        </is>
      </c>
      <c r="I142" s="7" t="inlineStr">
        <is>
          <t>PitchBook</t>
        </is>
      </c>
    </row>
    <row r="143">
      <c r="A143" s="7" t="inlineStr">
        <is>
          <t>United Kingdom</t>
        </is>
      </c>
      <c r="B143" t="inlineStr">
        <is>
          <t>EU</t>
        </is>
      </c>
      <c r="C143" s="7" t="n">
        <v>142</v>
      </c>
      <c r="D143" s="7" t="inlineStr">
        <is>
          <t>noa (London)</t>
        </is>
      </c>
      <c r="E143" s="7" t="inlineStr">
        <is>
          <t>CLIMATE</t>
        </is>
      </c>
      <c r="F143" s="8" t="inlineStr">
        <is>
          <t>YES</t>
        </is>
      </c>
      <c r="G143" s="7">
        <f>HYPERLINK("http://www.noavc.com", "www.noavc.com")</f>
        <v/>
      </c>
      <c r="H143" s="7" t="inlineStr">
        <is>
          <t>AUM: $409.3B | Portfolio: 35 companies</t>
        </is>
      </c>
      <c r="I143" s="7" t="inlineStr">
        <is>
          <t>PitchBook</t>
        </is>
      </c>
    </row>
    <row r="144">
      <c r="A144" s="7" t="inlineStr">
        <is>
          <t>Germany</t>
        </is>
      </c>
      <c r="B144" t="inlineStr">
        <is>
          <t>EU</t>
        </is>
      </c>
      <c r="C144" s="7" t="n">
        <v>143</v>
      </c>
      <c r="D144" s="7" t="inlineStr">
        <is>
          <t>eCAPITAL entrepreneurial Partners</t>
        </is>
      </c>
      <c r="E144" s="7" t="inlineStr">
        <is>
          <t>CLIMATE</t>
        </is>
      </c>
      <c r="F144" s="8" t="inlineStr">
        <is>
          <t>YES</t>
        </is>
      </c>
      <c r="G144" s="7">
        <f>HYPERLINK("http://www.ecapital.vc", "www.ecapital.vc")</f>
        <v/>
      </c>
      <c r="H144" s="7" t="inlineStr">
        <is>
          <t>AUM: $400.0B | Portfolio: 34 companies</t>
        </is>
      </c>
      <c r="I144" s="7" t="inlineStr">
        <is>
          <t>PitchBook</t>
        </is>
      </c>
    </row>
    <row r="145">
      <c r="A145" s="7" t="inlineStr">
        <is>
          <t>Germany</t>
        </is>
      </c>
      <c r="B145" t="inlineStr">
        <is>
          <t>EU</t>
        </is>
      </c>
      <c r="C145" s="7" t="n">
        <v>144</v>
      </c>
      <c r="D145" s="7" t="inlineStr">
        <is>
          <t>Evonik Venture Capital</t>
        </is>
      </c>
      <c r="E145" s="7" t="inlineStr">
        <is>
          <t>FOOD</t>
        </is>
      </c>
      <c r="F145" s="8" t="inlineStr">
        <is>
          <t>YES</t>
        </is>
      </c>
      <c r="G145" s="7">
        <f>HYPERLINK("http://www.industrial.vestakeep.com", "www.industrial.vestakeep.com")</f>
        <v/>
      </c>
      <c r="H145" s="7" t="inlineStr">
        <is>
          <t>AUM: $400.0B | Portfolio: 24 companies</t>
        </is>
      </c>
      <c r="I145" s="7" t="inlineStr">
        <is>
          <t>PitchBook</t>
        </is>
      </c>
    </row>
    <row r="146">
      <c r="A146" s="7" t="inlineStr">
        <is>
          <t>France</t>
        </is>
      </c>
      <c r="B146" t="inlineStr">
        <is>
          <t>EU</t>
        </is>
      </c>
      <c r="C146" s="7" t="n">
        <v>145</v>
      </c>
      <c r="D146" s="7" t="inlineStr">
        <is>
          <t>GO Capital</t>
        </is>
      </c>
      <c r="E146" s="7" t="inlineStr">
        <is>
          <t>CLIMATE</t>
        </is>
      </c>
      <c r="F146" s="8" t="inlineStr">
        <is>
          <t>YES</t>
        </is>
      </c>
      <c r="G146" s="7">
        <f>HYPERLINK("http://www.gocapital.fr", "www.gocapital.fr")</f>
        <v/>
      </c>
      <c r="H146" s="7" t="inlineStr">
        <is>
          <t>AUM: $400.0B | Portfolio: 100 companies</t>
        </is>
      </c>
      <c r="I146" s="7" t="inlineStr">
        <is>
          <t>PitchBook</t>
        </is>
      </c>
    </row>
    <row r="147">
      <c r="A147" s="7" t="inlineStr">
        <is>
          <t>France</t>
        </is>
      </c>
      <c r="B147" t="inlineStr">
        <is>
          <t>EU</t>
        </is>
      </c>
      <c r="C147" s="7" t="n">
        <v>146</v>
      </c>
      <c r="D147" s="7" t="inlineStr">
        <is>
          <t>NCI Gestion</t>
        </is>
      </c>
      <c r="E147" s="7" t="inlineStr">
        <is>
          <t>IND-AI</t>
        </is>
      </c>
      <c r="F147" s="8" t="inlineStr">
        <is>
          <t>YES</t>
        </is>
      </c>
      <c r="G147" s="7">
        <f>HYPERLINK("http://www.n-ci.com", "www.n-ci.com")</f>
        <v/>
      </c>
      <c r="H147" s="7" t="inlineStr">
        <is>
          <t>AUM: $400.0B | Portfolio: 60 companies</t>
        </is>
      </c>
      <c r="I147" s="7" t="inlineStr">
        <is>
          <t>PitchBook</t>
        </is>
      </c>
    </row>
    <row r="148">
      <c r="A148" s="7" t="inlineStr">
        <is>
          <t>Germany</t>
        </is>
      </c>
      <c r="B148" t="inlineStr">
        <is>
          <t>EU</t>
        </is>
      </c>
      <c r="C148" s="7" t="n">
        <v>147</v>
      </c>
      <c r="D148" s="7" t="inlineStr">
        <is>
          <t>VSquared Ventures</t>
        </is>
      </c>
      <c r="E148" s="7" t="inlineStr">
        <is>
          <t>CLIMATE</t>
        </is>
      </c>
      <c r="F148" s="8" t="inlineStr">
        <is>
          <t>YES</t>
        </is>
      </c>
      <c r="G148" s="7">
        <f>HYPERLINK("http://www.vsquared.vc", "www.vsquared.vc")</f>
        <v/>
      </c>
      <c r="H148" s="7" t="inlineStr">
        <is>
          <t>AUM: $400.0B | Portfolio: 42 companies</t>
        </is>
      </c>
      <c r="I148" s="7" t="inlineStr">
        <is>
          <t>PitchBook</t>
        </is>
      </c>
    </row>
    <row r="149">
      <c r="A149" s="7" t="inlineStr">
        <is>
          <t>CA</t>
        </is>
      </c>
      <c r="B149" t="inlineStr">
        <is>
          <t>US</t>
        </is>
      </c>
      <c r="C149" s="7" t="n">
        <v>148</v>
      </c>
      <c r="D149" s="7" t="inlineStr">
        <is>
          <t>Airbus Ventures</t>
        </is>
      </c>
      <c r="E149" s="7" t="inlineStr">
        <is>
          <t>FOOD</t>
        </is>
      </c>
      <c r="F149" s="8" t="inlineStr">
        <is>
          <t>YES</t>
        </is>
      </c>
      <c r="G149" s="7">
        <f>HYPERLINK("http://www.airbusventures.vc", "www.airbusventures.vc")</f>
        <v/>
      </c>
      <c r="H149" s="7" t="inlineStr">
        <is>
          <t>AUM: $396.5B | Portfolio: 43 companies</t>
        </is>
      </c>
      <c r="I149" s="7" t="inlineStr">
        <is>
          <t>PitchBook</t>
        </is>
      </c>
    </row>
    <row r="150">
      <c r="A150" s="7" t="inlineStr">
        <is>
          <t>PA</t>
        </is>
      </c>
      <c r="B150" t="inlineStr">
        <is>
          <t>US</t>
        </is>
      </c>
      <c r="C150" s="7" t="n">
        <v>149</v>
      </c>
      <c r="D150" s="7" t="inlineStr">
        <is>
          <t>Cerity Partners Ventures</t>
        </is>
      </c>
      <c r="E150" s="7" t="inlineStr">
        <is>
          <t>CLIMATE</t>
        </is>
      </c>
      <c r="F150" s="8" t="inlineStr">
        <is>
          <t>YES</t>
        </is>
      </c>
      <c r="G150" s="7">
        <f>HYPERLINK("http://touchdownvc.com", "touchdownvc.com")</f>
        <v/>
      </c>
      <c r="H150" s="7" t="inlineStr">
        <is>
          <t>AUM: $391.0B | Portfolio: 92 companies</t>
        </is>
      </c>
      <c r="I150" s="7" t="inlineStr">
        <is>
          <t>PitchBook</t>
        </is>
      </c>
    </row>
    <row r="151">
      <c r="A151" s="7" t="inlineStr">
        <is>
          <t>WY</t>
        </is>
      </c>
      <c r="B151" t="inlineStr">
        <is>
          <t>US</t>
        </is>
      </c>
      <c r="C151" s="7" t="n">
        <v>150</v>
      </c>
      <c r="D151" s="7" t="inlineStr">
        <is>
          <t>FPV Ventures</t>
        </is>
      </c>
      <c r="E151" s="7" t="inlineStr">
        <is>
          <t>CLIMATE</t>
        </is>
      </c>
      <c r="F151" s="8" t="inlineStr">
        <is>
          <t>YES</t>
        </is>
      </c>
      <c r="G151" s="7">
        <f>HYPERLINK("http://www.fpvventures.com", "www.fpvventures.com")</f>
        <v/>
      </c>
      <c r="H151" s="7" t="inlineStr">
        <is>
          <t>AUM: $389.7B | Portfolio: 40 companies</t>
        </is>
      </c>
      <c r="I151" s="7" t="inlineStr">
        <is>
          <t>PitchBook</t>
        </is>
      </c>
    </row>
    <row r="152">
      <c r="A152" s="7" t="inlineStr">
        <is>
          <t>Netherlands</t>
        </is>
      </c>
      <c r="B152" t="inlineStr">
        <is>
          <t>EU</t>
        </is>
      </c>
      <c r="C152" s="7" t="n">
        <v>151</v>
      </c>
      <c r="D152" s="7" t="inlineStr">
        <is>
          <t>Anterra Capital</t>
        </is>
      </c>
      <c r="E152" s="7" t="inlineStr">
        <is>
          <t>FOOD</t>
        </is>
      </c>
      <c r="F152" s="8" t="inlineStr">
        <is>
          <t>YES</t>
        </is>
      </c>
      <c r="G152" s="7">
        <f>HYPERLINK("http://www.anterracapital.com", "www.anterracapital.com")</f>
        <v/>
      </c>
      <c r="H152" s="7" t="inlineStr">
        <is>
          <t>AUM: $383.7B | Portfolio: 21 companies</t>
        </is>
      </c>
      <c r="I152" s="7" t="inlineStr">
        <is>
          <t>PitchBook</t>
        </is>
      </c>
    </row>
    <row r="153">
      <c r="A153" s="7" t="inlineStr">
        <is>
          <t>CA</t>
        </is>
      </c>
      <c r="B153" t="inlineStr">
        <is>
          <t>US</t>
        </is>
      </c>
      <c r="C153" s="7" t="n">
        <v>152</v>
      </c>
      <c r="D153" s="7" t="inlineStr">
        <is>
          <t>Bloomberg Beta</t>
        </is>
      </c>
      <c r="E153" s="7" t="inlineStr">
        <is>
          <t>IND-AI</t>
        </is>
      </c>
      <c r="F153" s="8" t="inlineStr">
        <is>
          <t>YES</t>
        </is>
      </c>
      <c r="G153" s="7">
        <f>HYPERLINK("http://www.bloombergbeta.com", "www.bloombergbeta.com")</f>
        <v/>
      </c>
      <c r="H153" s="7" t="inlineStr">
        <is>
          <t>AUM: $383.7B | Portfolio: 168 companies</t>
        </is>
      </c>
      <c r="I153" s="7" t="inlineStr">
        <is>
          <t>PitchBook</t>
        </is>
      </c>
    </row>
    <row r="154">
      <c r="A154" s="7" t="inlineStr">
        <is>
          <t>CA</t>
        </is>
      </c>
      <c r="B154" t="inlineStr">
        <is>
          <t>US</t>
        </is>
      </c>
      <c r="C154" s="7" t="n">
        <v>153</v>
      </c>
      <c r="D154" s="7" t="inlineStr">
        <is>
          <t>Conductive Ventures</t>
        </is>
      </c>
      <c r="E154" s="7" t="inlineStr">
        <is>
          <t>IND-AI</t>
        </is>
      </c>
      <c r="F154" s="8" t="inlineStr">
        <is>
          <t>YES</t>
        </is>
      </c>
      <c r="G154" s="7">
        <f>HYPERLINK("http://www.conductive.vc", "www.conductive.vc")</f>
        <v/>
      </c>
      <c r="H154" s="7" t="inlineStr">
        <is>
          <t>AUM: $383.7B | Portfolio: 25 companies</t>
        </is>
      </c>
      <c r="I154" s="7" t="inlineStr">
        <is>
          <t>PitchBook</t>
        </is>
      </c>
    </row>
    <row r="155">
      <c r="A155" s="7" t="inlineStr">
        <is>
          <t>CA</t>
        </is>
      </c>
      <c r="B155" t="inlineStr">
        <is>
          <t>US</t>
        </is>
      </c>
      <c r="C155" s="7" t="n">
        <v>154</v>
      </c>
      <c r="D155" s="7" t="inlineStr">
        <is>
          <t>TSV Capital (Los Altos)</t>
        </is>
      </c>
      <c r="E155" s="7" t="inlineStr">
        <is>
          <t>CLIMATE</t>
        </is>
      </c>
      <c r="F155" s="8" t="inlineStr">
        <is>
          <t>YES</t>
        </is>
      </c>
      <c r="G155" s="7">
        <f>HYPERLINK("http://www.tsvcap.com", "www.tsvcap.com")</f>
        <v/>
      </c>
      <c r="H155" s="7" t="inlineStr">
        <is>
          <t>AUM: $383.7B | Portfolio: 111 companies</t>
        </is>
      </c>
      <c r="I155" s="7" t="inlineStr">
        <is>
          <t>PitchBook</t>
        </is>
      </c>
    </row>
    <row r="156">
      <c r="A156" s="7" t="inlineStr">
        <is>
          <t>Finland</t>
        </is>
      </c>
      <c r="B156" t="inlineStr">
        <is>
          <t>EU</t>
        </is>
      </c>
      <c r="C156" s="7" t="n">
        <v>155</v>
      </c>
      <c r="D156" s="7" t="inlineStr">
        <is>
          <t>Inventure</t>
        </is>
      </c>
      <c r="E156" s="7" t="inlineStr">
        <is>
          <t>CLIMATE</t>
        </is>
      </c>
      <c r="F156" s="8" t="inlineStr">
        <is>
          <t>YES</t>
        </is>
      </c>
      <c r="G156" s="7">
        <f>HYPERLINK("http://inventure.vc", "inventure.vc")</f>
        <v/>
      </c>
      <c r="H156" s="7" t="inlineStr">
        <is>
          <t>AUM: $377.0B | Portfolio: 59 companies</t>
        </is>
      </c>
      <c r="I156" s="7" t="inlineStr">
        <is>
          <t>PitchBook</t>
        </is>
      </c>
    </row>
    <row r="157">
      <c r="A157" s="7" t="inlineStr">
        <is>
          <t>DC</t>
        </is>
      </c>
      <c r="B157" t="inlineStr">
        <is>
          <t>US</t>
        </is>
      </c>
      <c r="C157" s="7" t="n">
        <v>156</v>
      </c>
      <c r="D157" s="7" t="inlineStr">
        <is>
          <t>Construct Capital</t>
        </is>
      </c>
      <c r="E157" s="7" t="inlineStr">
        <is>
          <t>CLIMATE</t>
        </is>
      </c>
      <c r="F157" s="8" t="inlineStr">
        <is>
          <t>YES</t>
        </is>
      </c>
      <c r="G157" s="7">
        <f>HYPERLINK("http://www.constructcap.com", "www.constructcap.com")</f>
        <v/>
      </c>
      <c r="H157" s="7" t="inlineStr">
        <is>
          <t>AUM: $375.2B | Portfolio: 42 companies</t>
        </is>
      </c>
      <c r="I157" s="7" t="inlineStr">
        <is>
          <t>PitchBook</t>
        </is>
      </c>
    </row>
    <row r="158">
      <c r="A158" s="7" t="inlineStr">
        <is>
          <t>Canada</t>
        </is>
      </c>
      <c r="B158" t="inlineStr">
        <is>
          <t>Other</t>
        </is>
      </c>
      <c r="C158" s="7" t="n">
        <v>157</v>
      </c>
      <c r="D158" s="7" t="inlineStr">
        <is>
          <t>Cycle Capital Management</t>
        </is>
      </c>
      <c r="E158" s="7" t="inlineStr">
        <is>
          <t>CLIMATE</t>
        </is>
      </c>
      <c r="F158" s="8" t="inlineStr">
        <is>
          <t>YES</t>
        </is>
      </c>
      <c r="G158" s="7">
        <f>HYPERLINK("http://www.cyclecapital.com", "www.cyclecapital.com")</f>
        <v/>
      </c>
      <c r="H158" s="7" t="inlineStr">
        <is>
          <t>AUM: $373.2B | Portfolio: 30 companies</t>
        </is>
      </c>
      <c r="I158" s="7" t="inlineStr">
        <is>
          <t>PitchBook</t>
        </is>
      </c>
    </row>
    <row r="159">
      <c r="A159" s="7" t="inlineStr">
        <is>
          <t>NC</t>
        </is>
      </c>
      <c r="B159" t="inlineStr">
        <is>
          <t>US</t>
        </is>
      </c>
      <c r="C159" s="7" t="n">
        <v>158</v>
      </c>
      <c r="D159" s="7" t="inlineStr">
        <is>
          <t>SJF Ventures</t>
        </is>
      </c>
      <c r="E159" s="7" t="inlineStr">
        <is>
          <t>CLIMATE</t>
        </is>
      </c>
      <c r="F159" s="8" t="inlineStr">
        <is>
          <t>YES</t>
        </is>
      </c>
      <c r="G159" s="7">
        <f>HYPERLINK("http://sjfventures.com", "sjfventures.com")</f>
        <v/>
      </c>
      <c r="H159" s="7" t="inlineStr">
        <is>
          <t>AUM: $370.9B | Portfolio: 36 companies</t>
        </is>
      </c>
      <c r="I159" s="7" t="inlineStr">
        <is>
          <t>PitchBook</t>
        </is>
      </c>
    </row>
    <row r="160">
      <c r="A160" s="7" t="inlineStr">
        <is>
          <t>Italy</t>
        </is>
      </c>
      <c r="B160" t="inlineStr">
        <is>
          <t>EU</t>
        </is>
      </c>
      <c r="C160" s="7" t="n">
        <v>159</v>
      </c>
      <c r="D160" s="7" t="inlineStr">
        <is>
          <t>Indaco Venture Partners</t>
        </is>
      </c>
      <c r="E160" s="7" t="inlineStr">
        <is>
          <t>CHEM</t>
        </is>
      </c>
      <c r="F160" s="8" t="inlineStr">
        <is>
          <t>YES</t>
        </is>
      </c>
      <c r="G160" s="7">
        <f>HYPERLINK("http://indacosgr.com", "indacosgr.com")</f>
        <v/>
      </c>
      <c r="H160" s="7" t="inlineStr">
        <is>
          <t>AUM: $370.0B | Portfolio: 34 companies</t>
        </is>
      </c>
      <c r="I160" s="7" t="inlineStr">
        <is>
          <t>PitchBook</t>
        </is>
      </c>
    </row>
    <row r="161">
      <c r="A161" s="7" t="inlineStr">
        <is>
          <t>Japan</t>
        </is>
      </c>
      <c r="B161" t="inlineStr">
        <is>
          <t>JP</t>
        </is>
      </c>
      <c r="C161" s="7" t="n">
        <v>160</v>
      </c>
      <c r="D161" s="7" t="inlineStr">
        <is>
          <t>Sony Innovation Fund</t>
        </is>
      </c>
      <c r="E161" s="7" t="inlineStr">
        <is>
          <t>FOOD</t>
        </is>
      </c>
      <c r="F161" s="8" t="inlineStr">
        <is>
          <t>YES</t>
        </is>
      </c>
      <c r="G161" s="7">
        <f>HYPERLINK("http://www.sonyinnovationfund.com", "www.sonyinnovationfund.com")</f>
        <v/>
      </c>
      <c r="H161" s="7" t="inlineStr">
        <is>
          <t>AUM: $366.6B | Portfolio: 164 companies</t>
        </is>
      </c>
      <c r="I161" s="7" t="inlineStr">
        <is>
          <t>PitchBook</t>
        </is>
      </c>
    </row>
    <row r="162">
      <c r="A162" s="7" t="inlineStr">
        <is>
          <t>MA</t>
        </is>
      </c>
      <c r="B162" t="inlineStr">
        <is>
          <t>US</t>
        </is>
      </c>
      <c r="C162" s="7" t="n">
        <v>161</v>
      </c>
      <c r="D162" s="7" t="inlineStr">
        <is>
          <t>Clean Energy Ventures</t>
        </is>
      </c>
      <c r="E162" s="7" t="inlineStr">
        <is>
          <t>CLIMATE</t>
        </is>
      </c>
      <c r="F162" s="8" t="inlineStr">
        <is>
          <t>YES</t>
        </is>
      </c>
      <c r="G162" s="7">
        <f>HYPERLINK("http://cleanenergyventures.com", "cleanenergyventures.com")</f>
        <v/>
      </c>
      <c r="H162" s="7" t="inlineStr">
        <is>
          <t>AUM: $353.9B | Portfolio: 30 companies</t>
        </is>
      </c>
      <c r="I162" s="7" t="inlineStr">
        <is>
          <t>PitchBook</t>
        </is>
      </c>
    </row>
    <row r="163">
      <c r="A163" s="7" t="inlineStr">
        <is>
          <t>MA</t>
        </is>
      </c>
      <c r="B163" t="inlineStr">
        <is>
          <t>US</t>
        </is>
      </c>
      <c r="C163" s="7" t="n">
        <v>162</v>
      </c>
      <c r="D163" s="7" t="inlineStr">
        <is>
          <t>HLM Investment Partners</t>
        </is>
      </c>
      <c r="E163" s="7" t="inlineStr">
        <is>
          <t>IND-AI</t>
        </is>
      </c>
      <c r="F163" s="8" t="inlineStr">
        <is>
          <t>YES</t>
        </is>
      </c>
      <c r="G163" s="7">
        <f>HYPERLINK("http://www.hlminvestmentpartners.com", "www.hlminvestmentpartners.com")</f>
        <v/>
      </c>
      <c r="H163" s="7" t="inlineStr">
        <is>
          <t>AUM: $350.4B | Portfolio: 31 companies</t>
        </is>
      </c>
      <c r="I163" s="7" t="inlineStr">
        <is>
          <t>PitchBook</t>
        </is>
      </c>
    </row>
    <row r="164">
      <c r="A164" s="7" t="inlineStr">
        <is>
          <t>Germany</t>
        </is>
      </c>
      <c r="B164" t="inlineStr">
        <is>
          <t>EU</t>
        </is>
      </c>
      <c r="C164" s="7" t="n">
        <v>163</v>
      </c>
      <c r="D164" s="7" t="inlineStr">
        <is>
          <t>Future Energy Ventures</t>
        </is>
      </c>
      <c r="E164" s="7" t="inlineStr">
        <is>
          <t>CLIMATE</t>
        </is>
      </c>
      <c r="F164" s="8" t="inlineStr">
        <is>
          <t>YES</t>
        </is>
      </c>
      <c r="G164" s="7">
        <f>HYPERLINK("http://www.fev.vc", "www.fev.vc")</f>
        <v/>
      </c>
      <c r="H164" s="7" t="inlineStr">
        <is>
          <t>AUM: $350.0B | Portfolio: 45 companies</t>
        </is>
      </c>
      <c r="I164" s="7" t="inlineStr">
        <is>
          <t>PitchBook</t>
        </is>
      </c>
    </row>
    <row r="165">
      <c r="A165" s="7" t="inlineStr">
        <is>
          <t>France</t>
        </is>
      </c>
      <c r="B165" t="inlineStr">
        <is>
          <t>EU</t>
        </is>
      </c>
      <c r="C165" s="7" t="n">
        <v>164</v>
      </c>
      <c r="D165" s="7" t="inlineStr">
        <is>
          <t>Founders Future</t>
        </is>
      </c>
      <c r="E165" s="7" t="inlineStr">
        <is>
          <t>IND-AI</t>
        </is>
      </c>
      <c r="F165" s="8" t="inlineStr">
        <is>
          <t>YES</t>
        </is>
      </c>
      <c r="G165" s="7">
        <f>HYPERLINK("http://www.foundersfuture.com", "www.foundersfuture.com")</f>
        <v/>
      </c>
      <c r="H165" s="7" t="inlineStr">
        <is>
          <t>AUM: $341.1B | Portfolio: 119 companies</t>
        </is>
      </c>
      <c r="I165" s="7" t="inlineStr">
        <is>
          <t>PitchBook</t>
        </is>
      </c>
    </row>
    <row r="166">
      <c r="A166" s="7" t="inlineStr">
        <is>
          <t>Canada</t>
        </is>
      </c>
      <c r="B166" t="inlineStr">
        <is>
          <t>Other</t>
        </is>
      </c>
      <c r="C166" s="7" t="n">
        <v>165</v>
      </c>
      <c r="D166" s="7" t="inlineStr">
        <is>
          <t>Whitecap Venture Partners</t>
        </is>
      </c>
      <c r="E166" s="7" t="inlineStr">
        <is>
          <t>CHEM</t>
        </is>
      </c>
      <c r="F166" s="8" t="inlineStr">
        <is>
          <t>YES</t>
        </is>
      </c>
      <c r="G166" s="7">
        <f>HYPERLINK("http://www.whitecapvp.com", "www.whitecapvp.com")</f>
        <v/>
      </c>
      <c r="H166" s="7" t="inlineStr">
        <is>
          <t>AUM: $341.1B | Portfolio: 17 companies</t>
        </is>
      </c>
      <c r="I166" s="7" t="inlineStr">
        <is>
          <t>PitchBook</t>
        </is>
      </c>
    </row>
    <row r="167">
      <c r="A167" s="7" t="inlineStr">
        <is>
          <t>MO</t>
        </is>
      </c>
      <c r="B167" t="inlineStr">
        <is>
          <t>US</t>
        </is>
      </c>
      <c r="C167" s="7" t="n">
        <v>166</v>
      </c>
      <c r="D167" s="7" t="inlineStr">
        <is>
          <t>Lewis &amp; Clark Partners</t>
        </is>
      </c>
      <c r="E167" s="7" t="inlineStr">
        <is>
          <t>FOOD</t>
        </is>
      </c>
      <c r="F167" s="8" t="inlineStr">
        <is>
          <t>YES</t>
        </is>
      </c>
      <c r="G167" s="7">
        <f>HYPERLINK("http://lewisandclarkpartners.com", "lewisandclarkpartners.com")</f>
        <v/>
      </c>
      <c r="H167" s="7" t="inlineStr">
        <is>
          <t>AUM: $336.8B | Portfolio: 18 companies</t>
        </is>
      </c>
      <c r="I167" s="7" t="inlineStr">
        <is>
          <t>PitchBook</t>
        </is>
      </c>
    </row>
    <row r="168">
      <c r="A168" s="7" t="inlineStr">
        <is>
          <t>WA</t>
        </is>
      </c>
      <c r="B168" t="inlineStr">
        <is>
          <t>US</t>
        </is>
      </c>
      <c r="C168" s="7" t="n">
        <v>167</v>
      </c>
      <c r="D168" s="7" t="inlineStr">
        <is>
          <t>Acequia Capital</t>
        </is>
      </c>
      <c r="E168" s="7" t="inlineStr">
        <is>
          <t>CLIMATE</t>
        </is>
      </c>
      <c r="F168" s="8" t="inlineStr">
        <is>
          <t>YES</t>
        </is>
      </c>
      <c r="G168" s="7">
        <f>HYPERLINK("http://www.acecap.com", "www.acecap.com")</f>
        <v/>
      </c>
      <c r="H168" s="7" t="inlineStr">
        <is>
          <t>AUM: $328.3B | Portfolio: 228 companies</t>
        </is>
      </c>
      <c r="I168" s="7" t="inlineStr">
        <is>
          <t>PitchBook</t>
        </is>
      </c>
    </row>
    <row r="169">
      <c r="A169" s="7" t="inlineStr">
        <is>
          <t>Hong Kong</t>
        </is>
      </c>
      <c r="B169" t="inlineStr">
        <is>
          <t>Other</t>
        </is>
      </c>
      <c r="C169" s="7" t="n">
        <v>168</v>
      </c>
      <c r="D169" s="7" t="inlineStr">
        <is>
          <t>LongRiver Investments</t>
        </is>
      </c>
      <c r="E169" s="7" t="inlineStr">
        <is>
          <t>CLIMATE</t>
        </is>
      </c>
      <c r="F169" s="8" t="inlineStr">
        <is>
          <t>YES</t>
        </is>
      </c>
      <c r="G169" s="7">
        <f>HYPERLINK("http://lr-investments.com", "lr-investments.com")</f>
        <v/>
      </c>
      <c r="H169" s="7" t="inlineStr">
        <is>
          <t>AUM: $328.3B | Portfolio: 32 companies</t>
        </is>
      </c>
      <c r="I169" s="7" t="inlineStr">
        <is>
          <t>PitchBook</t>
        </is>
      </c>
    </row>
    <row r="170">
      <c r="A170" s="7" t="inlineStr">
        <is>
          <t>NY</t>
        </is>
      </c>
      <c r="B170" t="inlineStr">
        <is>
          <t>US</t>
        </is>
      </c>
      <c r="C170" s="7" t="n">
        <v>169</v>
      </c>
      <c r="D170" s="7" t="inlineStr">
        <is>
          <t>Outlander VC</t>
        </is>
      </c>
      <c r="E170" s="7" t="inlineStr">
        <is>
          <t>IND-AI</t>
        </is>
      </c>
      <c r="F170" s="8" t="inlineStr">
        <is>
          <t>YES</t>
        </is>
      </c>
      <c r="G170" s="7">
        <f>HYPERLINK("http://www.outlander.vc", "www.outlander.vc")</f>
        <v/>
      </c>
      <c r="H170" s="7" t="inlineStr">
        <is>
          <t>AUM: $322.3B | Portfolio: 71 companies</t>
        </is>
      </c>
      <c r="I170" s="7" t="inlineStr">
        <is>
          <t>PitchBook</t>
        </is>
      </c>
    </row>
    <row r="171">
      <c r="A171" s="7" t="inlineStr">
        <is>
          <t>CA</t>
        </is>
      </c>
      <c r="B171" t="inlineStr">
        <is>
          <t>US</t>
        </is>
      </c>
      <c r="C171" s="7" t="n">
        <v>170</v>
      </c>
      <c r="D171" s="7" t="inlineStr">
        <is>
          <t>Clocktower Ventures</t>
        </is>
      </c>
      <c r="E171" s="7" t="inlineStr">
        <is>
          <t>CLIMATE</t>
        </is>
      </c>
      <c r="F171" s="8" t="inlineStr">
        <is>
          <t>YES</t>
        </is>
      </c>
      <c r="G171" s="7">
        <f>HYPERLINK("http://www.clocktowerventures.com", "www.clocktowerventures.com")</f>
        <v/>
      </c>
      <c r="H171" s="7" t="inlineStr">
        <is>
          <t>AUM: $315.5B | Portfolio: 184 companies</t>
        </is>
      </c>
      <c r="I171" s="7" t="inlineStr">
        <is>
          <t>PitchBook</t>
        </is>
      </c>
    </row>
    <row r="172">
      <c r="A172" s="7" t="inlineStr">
        <is>
          <t>CO</t>
        </is>
      </c>
      <c r="B172" t="inlineStr">
        <is>
          <t>US</t>
        </is>
      </c>
      <c r="C172" s="7" t="n">
        <v>171</v>
      </c>
      <c r="D172" s="7" t="inlineStr">
        <is>
          <t>Blackhorn Ventures</t>
        </is>
      </c>
      <c r="E172" s="7" t="inlineStr">
        <is>
          <t>CLIMATE</t>
        </is>
      </c>
      <c r="F172" s="8" t="inlineStr">
        <is>
          <t>YES</t>
        </is>
      </c>
      <c r="G172" s="7">
        <f>HYPERLINK("http://www.blackhornvc.com", "www.blackhornvc.com")</f>
        <v/>
      </c>
      <c r="H172" s="7" t="inlineStr">
        <is>
          <t>AUM: $308.7B | Portfolio: 58 companies</t>
        </is>
      </c>
      <c r="I172" s="7" t="inlineStr">
        <is>
          <t>PitchBook</t>
        </is>
      </c>
    </row>
    <row r="173">
      <c r="A173" s="7" t="inlineStr">
        <is>
          <t>CA</t>
        </is>
      </c>
      <c r="B173" t="inlineStr">
        <is>
          <t>US</t>
        </is>
      </c>
      <c r="C173" s="7" t="n">
        <v>172</v>
      </c>
      <c r="D173" s="7" t="inlineStr">
        <is>
          <t>Energy Innovation Capital</t>
        </is>
      </c>
      <c r="E173" s="7" t="inlineStr">
        <is>
          <t>CLIMATE</t>
        </is>
      </c>
      <c r="F173" s="8" t="inlineStr">
        <is>
          <t>YES</t>
        </is>
      </c>
      <c r="G173" s="7">
        <f>HYPERLINK("http://www.energyinnovationcapital.com", "www.energyinnovationcapital.com")</f>
        <v/>
      </c>
      <c r="H173" s="7" t="inlineStr">
        <is>
          <t>AUM: $307.0B | Portfolio: 32 companies</t>
        </is>
      </c>
      <c r="I173" s="7" t="inlineStr">
        <is>
          <t>PitchBook</t>
        </is>
      </c>
    </row>
    <row r="174">
      <c r="A174" s="7" t="inlineStr">
        <is>
          <t>Denmark</t>
        </is>
      </c>
      <c r="B174" t="inlineStr">
        <is>
          <t>EU</t>
        </is>
      </c>
      <c r="C174" s="7" t="n">
        <v>173</v>
      </c>
      <c r="D174" s="7" t="inlineStr">
        <is>
          <t>Nordic Alpha Partners</t>
        </is>
      </c>
      <c r="E174" s="7" t="inlineStr">
        <is>
          <t>FOOD</t>
        </is>
      </c>
      <c r="F174" s="8" t="inlineStr">
        <is>
          <t>YES</t>
        </is>
      </c>
      <c r="G174" s="7">
        <f>HYPERLINK("http://www.nordicalpha.com", "www.nordicalpha.com")</f>
        <v/>
      </c>
      <c r="H174" s="7" t="inlineStr">
        <is>
          <t>AUM: $305.0B | Portfolio: 11 companies</t>
        </is>
      </c>
      <c r="I174" s="7" t="inlineStr">
        <is>
          <t>PitchBook</t>
        </is>
      </c>
    </row>
    <row r="175">
      <c r="A175" s="7" t="inlineStr">
        <is>
          <t>Canada</t>
        </is>
      </c>
      <c r="B175" t="inlineStr">
        <is>
          <t>Other</t>
        </is>
      </c>
      <c r="C175" s="7" t="n">
        <v>174</v>
      </c>
      <c r="D175" s="7" t="inlineStr">
        <is>
          <t>Radical Ventures</t>
        </is>
      </c>
      <c r="E175" s="7" t="inlineStr">
        <is>
          <t>CLIMATE</t>
        </is>
      </c>
      <c r="F175" s="8" t="inlineStr">
        <is>
          <t>YES</t>
        </is>
      </c>
      <c r="G175" s="7">
        <f>HYPERLINK("http://radical.vc", "radical.vc")</f>
        <v/>
      </c>
      <c r="H175" s="7" t="inlineStr">
        <is>
          <t>AUM: $304.7B | Portfolio: 64 companies</t>
        </is>
      </c>
      <c r="I175" s="7" t="inlineStr">
        <is>
          <t>PitchBook</t>
        </is>
      </c>
    </row>
    <row r="176">
      <c r="A176" s="7" t="inlineStr">
        <is>
          <t>France</t>
        </is>
      </c>
      <c r="B176" t="inlineStr">
        <is>
          <t>EU</t>
        </is>
      </c>
      <c r="C176" s="7" t="n">
        <v>175</v>
      </c>
      <c r="D176" s="7" t="inlineStr">
        <is>
          <t>Axeleo Capital</t>
        </is>
      </c>
      <c r="E176" s="7" t="inlineStr">
        <is>
          <t>CLIMATE</t>
        </is>
      </c>
      <c r="F176" s="8" t="inlineStr">
        <is>
          <t>YES</t>
        </is>
      </c>
      <c r="G176" s="7">
        <f>HYPERLINK("http://www.axc.vc", "www.axc.vc")</f>
        <v/>
      </c>
      <c r="H176" s="7" t="inlineStr">
        <is>
          <t>AUM: $300.0B | Portfolio: 44 companies</t>
        </is>
      </c>
      <c r="I176" s="7" t="inlineStr">
        <is>
          <t>PitchBook</t>
        </is>
      </c>
    </row>
    <row r="177">
      <c r="A177" s="7" t="inlineStr">
        <is>
          <t>Germany</t>
        </is>
      </c>
      <c r="B177" t="inlineStr">
        <is>
          <t>EU</t>
        </is>
      </c>
      <c r="C177" s="7" t="n">
        <v>176</v>
      </c>
      <c r="D177" s="7" t="inlineStr">
        <is>
          <t>ECBF</t>
        </is>
      </c>
      <c r="E177" s="7" t="inlineStr">
        <is>
          <t>FOOD</t>
        </is>
      </c>
      <c r="F177" s="8" t="inlineStr">
        <is>
          <t>YES</t>
        </is>
      </c>
      <c r="G177" s="7">
        <f>HYPERLINK("http://www.ecbf.vc", "www.ecbf.vc")</f>
        <v/>
      </c>
      <c r="H177" s="7" t="inlineStr">
        <is>
          <t>AUM: $300.0B | Portfolio: 25 companies</t>
        </is>
      </c>
      <c r="I177" s="7" t="inlineStr">
        <is>
          <t>PitchBook</t>
        </is>
      </c>
    </row>
    <row r="178">
      <c r="A178" s="7" t="inlineStr">
        <is>
          <t>Netherlands</t>
        </is>
      </c>
      <c r="B178" t="inlineStr">
        <is>
          <t>EU</t>
        </is>
      </c>
      <c r="C178" s="7" t="n">
        <v>177</v>
      </c>
      <c r="D178" s="7" t="inlineStr">
        <is>
          <t>InnovationQuarter</t>
        </is>
      </c>
      <c r="E178" s="7" t="inlineStr">
        <is>
          <t>CLIMATE</t>
        </is>
      </c>
      <c r="F178" s="8" t="inlineStr">
        <is>
          <t>YES</t>
        </is>
      </c>
      <c r="G178" s="7">
        <f>HYPERLINK("http://www.innovationquarter.nl", "www.innovationquarter.nl")</f>
        <v/>
      </c>
      <c r="H178" s="7" t="inlineStr">
        <is>
          <t>AUM: $300.0B | Portfolio: 99 companies</t>
        </is>
      </c>
      <c r="I178" s="7" t="inlineStr">
        <is>
          <t>PitchBook</t>
        </is>
      </c>
    </row>
    <row r="179">
      <c r="A179" s="7" t="inlineStr">
        <is>
          <t>Denmark</t>
        </is>
      </c>
      <c r="B179" t="inlineStr">
        <is>
          <t>EU</t>
        </is>
      </c>
      <c r="C179" s="7" t="n">
        <v>178</v>
      </c>
      <c r="D179" s="7" t="inlineStr">
        <is>
          <t>Kompas VC</t>
        </is>
      </c>
      <c r="E179" s="7" t="inlineStr">
        <is>
          <t>CLIMATE</t>
        </is>
      </c>
      <c r="F179" s="8" t="inlineStr">
        <is>
          <t>YES</t>
        </is>
      </c>
      <c r="G179" s="7">
        <f>HYPERLINK("http://www.kompas.vc", "www.kompas.vc")</f>
        <v/>
      </c>
      <c r="H179" s="7" t="inlineStr">
        <is>
          <t>AUM: $300.0B | Portfolio: 26 companies</t>
        </is>
      </c>
      <c r="I179" s="7" t="inlineStr">
        <is>
          <t>PitchBook</t>
        </is>
      </c>
    </row>
    <row r="180">
      <c r="A180" s="7" t="inlineStr">
        <is>
          <t>France</t>
        </is>
      </c>
      <c r="B180" t="inlineStr">
        <is>
          <t>EU</t>
        </is>
      </c>
      <c r="C180" s="7" t="n">
        <v>179</v>
      </c>
      <c r="D180" s="7" t="inlineStr">
        <is>
          <t>Starquest Capital</t>
        </is>
      </c>
      <c r="E180" s="7" t="inlineStr">
        <is>
          <t>CLIMATE</t>
        </is>
      </c>
      <c r="F180" s="8" t="inlineStr">
        <is>
          <t>YES</t>
        </is>
      </c>
      <c r="G180" s="7">
        <f>HYPERLINK("http://www.starquest-capital.com", "www.starquest-capital.com")</f>
        <v/>
      </c>
      <c r="H180" s="7" t="inlineStr">
        <is>
          <t>AUM: $300.0B | Portfolio: 33 companies</t>
        </is>
      </c>
      <c r="I180" s="7" t="inlineStr">
        <is>
          <t>PitchBook</t>
        </is>
      </c>
    </row>
    <row r="181">
      <c r="A181" s="7" t="inlineStr">
        <is>
          <t>Switzerland</t>
        </is>
      </c>
      <c r="B181" t="inlineStr">
        <is>
          <t>EU</t>
        </is>
      </c>
      <c r="C181" s="7" t="n">
        <v>180</v>
      </c>
      <c r="D181" s="7" t="inlineStr">
        <is>
          <t>Verve Ventures</t>
        </is>
      </c>
      <c r="E181" s="7" t="inlineStr">
        <is>
          <t>CLIMATE</t>
        </is>
      </c>
      <c r="F181" s="8" t="inlineStr">
        <is>
          <t>YES</t>
        </is>
      </c>
      <c r="G181" s="7">
        <f>HYPERLINK("http://www.verve.vc", "www.verve.vc")</f>
        <v/>
      </c>
      <c r="H181" s="7" t="inlineStr">
        <is>
          <t>AUM: $300.0B | Portfolio: 128 companies</t>
        </is>
      </c>
      <c r="I181" s="7" t="inlineStr">
        <is>
          <t>PitchBook</t>
        </is>
      </c>
    </row>
    <row r="182">
      <c r="A182" s="7" t="inlineStr">
        <is>
          <t>Germany</t>
        </is>
      </c>
      <c r="B182" t="inlineStr">
        <is>
          <t>EU</t>
        </is>
      </c>
      <c r="C182" s="7" t="n">
        <v>181</v>
      </c>
      <c r="D182" s="7" t="inlineStr">
        <is>
          <t>World Fund</t>
        </is>
      </c>
      <c r="E182" s="7" t="inlineStr">
        <is>
          <t>CLIMATE</t>
        </is>
      </c>
      <c r="F182" s="8" t="inlineStr">
        <is>
          <t>YES</t>
        </is>
      </c>
      <c r="G182" s="7">
        <f>HYPERLINK("http://www.worldfund.vc", "www.worldfund.vc")</f>
        <v/>
      </c>
      <c r="H182" s="7" t="inlineStr">
        <is>
          <t>AUM: $300.0B | Portfolio: 22 companies</t>
        </is>
      </c>
      <c r="I182" s="7" t="inlineStr">
        <is>
          <t>PitchBook</t>
        </is>
      </c>
    </row>
    <row r="183">
      <c r="A183" s="7" t="inlineStr">
        <is>
          <t>Canada</t>
        </is>
      </c>
      <c r="B183" t="inlineStr">
        <is>
          <t>Other</t>
        </is>
      </c>
      <c r="C183" s="7" t="n">
        <v>182</v>
      </c>
      <c r="D183" s="7" t="inlineStr">
        <is>
          <t>Evok Innovations</t>
        </is>
      </c>
      <c r="E183" s="7" t="inlineStr">
        <is>
          <t>CLIMATE</t>
        </is>
      </c>
      <c r="F183" s="8" t="inlineStr">
        <is>
          <t>YES</t>
        </is>
      </c>
      <c r="G183" s="7">
        <f>HYPERLINK("http://www.evokinnovations.com", "www.evokinnovations.com")</f>
        <v/>
      </c>
      <c r="H183" s="7" t="inlineStr">
        <is>
          <t>AUM: $298.5B | Portfolio: 22 companies</t>
        </is>
      </c>
      <c r="I183" s="7" t="inlineStr">
        <is>
          <t>PitchBook</t>
        </is>
      </c>
    </row>
    <row r="184">
      <c r="A184" s="7" t="inlineStr">
        <is>
          <t>WY</t>
        </is>
      </c>
      <c r="B184" t="inlineStr">
        <is>
          <t>US</t>
        </is>
      </c>
      <c r="C184" s="7" t="n">
        <v>183</v>
      </c>
      <c r="D184" s="7" t="inlineStr">
        <is>
          <t>Blue Bear Capital</t>
        </is>
      </c>
      <c r="E184" s="7" t="inlineStr">
        <is>
          <t>CLIMATE</t>
        </is>
      </c>
      <c r="F184" s="8" t="inlineStr">
        <is>
          <t>YES</t>
        </is>
      </c>
      <c r="G184" s="7">
        <f>HYPERLINK("http://www.bluebearcap.com", "www.bluebearcap.com")</f>
        <v/>
      </c>
      <c r="H184" s="7" t="inlineStr">
        <is>
          <t>AUM: $298.4B | Portfolio: 27 companies</t>
        </is>
      </c>
      <c r="I184" s="7" t="inlineStr">
        <is>
          <t>PitchBook</t>
        </is>
      </c>
    </row>
    <row r="185">
      <c r="A185" s="7" t="inlineStr">
        <is>
          <t>Japan</t>
        </is>
      </c>
      <c r="B185" t="inlineStr">
        <is>
          <t>JP</t>
        </is>
      </c>
      <c r="C185" s="7" t="n">
        <v>184</v>
      </c>
      <c r="D185" s="7" t="inlineStr">
        <is>
          <t>ITOCHU Technology Ventures</t>
        </is>
      </c>
      <c r="E185" s="7" t="inlineStr">
        <is>
          <t>CLIMATE</t>
        </is>
      </c>
      <c r="F185" s="8" t="inlineStr">
        <is>
          <t>YES</t>
        </is>
      </c>
      <c r="G185" s="7">
        <f>HYPERLINK("http://www.techv.co.jp", "www.techv.co.jp")</f>
        <v/>
      </c>
      <c r="H185" s="7" t="inlineStr">
        <is>
          <t>AUM: $296.9B | Portfolio: 58 companies</t>
        </is>
      </c>
      <c r="I185" s="7" t="inlineStr">
        <is>
          <t>PitchBook</t>
        </is>
      </c>
    </row>
    <row r="186">
      <c r="A186" s="7" t="inlineStr">
        <is>
          <t>CA</t>
        </is>
      </c>
      <c r="B186" t="inlineStr">
        <is>
          <t>US</t>
        </is>
      </c>
      <c r="C186" s="7" t="n">
        <v>185</v>
      </c>
      <c r="D186" s="7" t="inlineStr">
        <is>
          <t>Fall Line Capital</t>
        </is>
      </c>
      <c r="E186" s="7" t="inlineStr">
        <is>
          <t>FOOD</t>
        </is>
      </c>
      <c r="F186" s="8" t="inlineStr">
        <is>
          <t>YES</t>
        </is>
      </c>
      <c r="G186" s="7">
        <f>HYPERLINK("http://www.fall-line-capital.com", "www.fall-line-capital.com")</f>
        <v/>
      </c>
      <c r="H186" s="7" t="inlineStr">
        <is>
          <t>AUM: $283.1B | Portfolio: 28 companies</t>
        </is>
      </c>
      <c r="I186" s="7" t="inlineStr">
        <is>
          <t>PitchBook</t>
        </is>
      </c>
    </row>
    <row r="187">
      <c r="A187" s="7" t="inlineStr">
        <is>
          <t>CA</t>
        </is>
      </c>
      <c r="B187" t="inlineStr">
        <is>
          <t>US</t>
        </is>
      </c>
      <c r="C187" s="7" t="n">
        <v>186</v>
      </c>
      <c r="D187" s="7" t="inlineStr">
        <is>
          <t>Cisco Investments</t>
        </is>
      </c>
      <c r="E187" s="7" t="inlineStr">
        <is>
          <t>IND-AI</t>
        </is>
      </c>
      <c r="F187" s="8" t="inlineStr">
        <is>
          <t>YES</t>
        </is>
      </c>
      <c r="G187" s="7">
        <f>HYPERLINK("http://www.ciscoinvestments.com", "www.ciscoinvestments.com")</f>
        <v/>
      </c>
      <c r="H187" s="7" t="inlineStr">
        <is>
          <t>AUM: $281.4B | Portfolio: 108 companies</t>
        </is>
      </c>
      <c r="I187" s="7" t="inlineStr">
        <is>
          <t>PitchBook</t>
        </is>
      </c>
    </row>
    <row r="188">
      <c r="A188" s="7" t="inlineStr">
        <is>
          <t>CA</t>
        </is>
      </c>
      <c r="B188" t="inlineStr">
        <is>
          <t>US</t>
        </is>
      </c>
      <c r="C188" s="7" t="n">
        <v>187</v>
      </c>
      <c r="D188" s="7" t="inlineStr">
        <is>
          <t>MVP Ventures</t>
        </is>
      </c>
      <c r="E188" s="7" t="inlineStr">
        <is>
          <t>CLIMATE</t>
        </is>
      </c>
      <c r="F188" s="8" t="inlineStr">
        <is>
          <t>YES</t>
        </is>
      </c>
      <c r="G188" s="7">
        <f>HYPERLINK("http://www.mvp-vc.com", "www.mvp-vc.com")</f>
        <v/>
      </c>
      <c r="H188" s="7" t="inlineStr">
        <is>
          <t>AUM: $277.1B | Portfolio: 99 companies</t>
        </is>
      </c>
      <c r="I188" s="7" t="inlineStr">
        <is>
          <t>PitchBook</t>
        </is>
      </c>
    </row>
    <row r="189">
      <c r="A189" s="7" t="inlineStr">
        <is>
          <t>NY</t>
        </is>
      </c>
      <c r="B189" t="inlineStr">
        <is>
          <t>US</t>
        </is>
      </c>
      <c r="C189" s="7" t="n">
        <v>188</v>
      </c>
      <c r="D189" s="7" t="inlineStr">
        <is>
          <t>New York Ventures</t>
        </is>
      </c>
      <c r="E189" s="7" t="inlineStr">
        <is>
          <t>CLIMATE</t>
        </is>
      </c>
      <c r="F189" s="8" t="inlineStr">
        <is>
          <t>YES</t>
        </is>
      </c>
      <c r="G189" s="7" t="inlineStr"/>
      <c r="H189" s="7" t="inlineStr">
        <is>
          <t>AUM: $270.3B | Portfolio: 114 companies</t>
        </is>
      </c>
      <c r="I189" s="7" t="inlineStr">
        <is>
          <t>PitchBook</t>
        </is>
      </c>
    </row>
    <row r="190">
      <c r="A190" s="7" t="inlineStr">
        <is>
          <t>GA</t>
        </is>
      </c>
      <c r="B190" t="inlineStr">
        <is>
          <t>US</t>
        </is>
      </c>
      <c r="C190" s="7" t="n">
        <v>189</v>
      </c>
      <c r="D190" s="7" t="inlineStr">
        <is>
          <t>Kinetic Ventures</t>
        </is>
      </c>
      <c r="E190" s="7" t="inlineStr">
        <is>
          <t>CLIMATE</t>
        </is>
      </c>
      <c r="F190" s="8" t="inlineStr">
        <is>
          <t>YES</t>
        </is>
      </c>
      <c r="G190" s="7">
        <f>HYPERLINK("http://www.kineticventures.com", "www.kineticventures.com")</f>
        <v/>
      </c>
      <c r="H190" s="7" t="inlineStr">
        <is>
          <t>AUM: $268.0B | Portfolio: 23 companies</t>
        </is>
      </c>
      <c r="I190" s="7" t="inlineStr">
        <is>
          <t>PitchBook</t>
        </is>
      </c>
    </row>
    <row r="191">
      <c r="A191" s="7" t="inlineStr">
        <is>
          <t>NY</t>
        </is>
      </c>
      <c r="B191" t="inlineStr">
        <is>
          <t>US</t>
        </is>
      </c>
      <c r="C191" s="7" t="n">
        <v>190</v>
      </c>
      <c r="D191" s="7" t="inlineStr">
        <is>
          <t>Eniac Ventures</t>
        </is>
      </c>
      <c r="E191" s="7" t="inlineStr">
        <is>
          <t>IND-AI</t>
        </is>
      </c>
      <c r="F191" s="8" t="inlineStr">
        <is>
          <t>YES</t>
        </is>
      </c>
      <c r="G191" s="7">
        <f>HYPERLINK("http://www.eniac.vc", "www.eniac.vc")</f>
        <v/>
      </c>
      <c r="H191" s="7" t="inlineStr">
        <is>
          <t>AUM: $264.2B | Portfolio: 131 companies</t>
        </is>
      </c>
      <c r="I191" s="7" t="inlineStr">
        <is>
          <t>PitchBook</t>
        </is>
      </c>
    </row>
    <row r="192">
      <c r="A192" s="7" t="inlineStr">
        <is>
          <t>Finland</t>
        </is>
      </c>
      <c r="B192" t="inlineStr">
        <is>
          <t>EU</t>
        </is>
      </c>
      <c r="C192" s="7" t="n">
        <v>191</v>
      </c>
      <c r="D192" s="7" t="inlineStr">
        <is>
          <t>Maki.vc</t>
        </is>
      </c>
      <c r="E192" s="7" t="inlineStr">
        <is>
          <t>CHEM</t>
        </is>
      </c>
      <c r="F192" s="8" t="inlineStr">
        <is>
          <t>YES</t>
        </is>
      </c>
      <c r="G192" s="7">
        <f>HYPERLINK("http://www.maki.vc", "www.maki.vc")</f>
        <v/>
      </c>
      <c r="H192" s="7" t="inlineStr">
        <is>
          <t>AUM: $260.0B | Portfolio: 45 companies</t>
        </is>
      </c>
      <c r="I192" s="7" t="inlineStr">
        <is>
          <t>PitchBook</t>
        </is>
      </c>
    </row>
    <row r="193">
      <c r="A193" s="7" t="inlineStr">
        <is>
          <t>CA</t>
        </is>
      </c>
      <c r="B193" t="inlineStr">
        <is>
          <t>US</t>
        </is>
      </c>
      <c r="C193" s="7" t="n">
        <v>192</v>
      </c>
      <c r="D193" s="7" t="inlineStr">
        <is>
          <t>AgFunder</t>
        </is>
      </c>
      <c r="E193" s="7" t="inlineStr">
        <is>
          <t>FOOD</t>
        </is>
      </c>
      <c r="F193" s="8" t="inlineStr">
        <is>
          <t>YES</t>
        </is>
      </c>
      <c r="G193" s="7">
        <f>HYPERLINK("http://www.agfunder.com", "www.agfunder.com")</f>
        <v/>
      </c>
      <c r="H193" s="7" t="inlineStr">
        <is>
          <t>AUM: $255.8B | Portfolio: 100 companies</t>
        </is>
      </c>
      <c r="I193" s="7" t="inlineStr">
        <is>
          <t>PitchBook</t>
        </is>
      </c>
    </row>
    <row r="194">
      <c r="A194" s="7" t="inlineStr">
        <is>
          <t>Canada</t>
        </is>
      </c>
      <c r="B194" t="inlineStr">
        <is>
          <t>Other</t>
        </is>
      </c>
      <c r="C194" s="7" t="n">
        <v>193</v>
      </c>
      <c r="D194" s="7" t="inlineStr">
        <is>
          <t>Chrysalix Venture Capital</t>
        </is>
      </c>
      <c r="E194" s="7" t="inlineStr">
        <is>
          <t>CHEM</t>
        </is>
      </c>
      <c r="F194" s="8" t="inlineStr">
        <is>
          <t>YES</t>
        </is>
      </c>
      <c r="G194" s="7">
        <f>HYPERLINK("http://www.chrysalix.com", "www.chrysalix.com")</f>
        <v/>
      </c>
      <c r="H194" s="7" t="inlineStr">
        <is>
          <t>AUM: $255.8B | Portfolio: 18 companies</t>
        </is>
      </c>
      <c r="I194" s="7" t="inlineStr">
        <is>
          <t>PitchBook</t>
        </is>
      </c>
    </row>
    <row r="195">
      <c r="A195" s="7" t="inlineStr">
        <is>
          <t>GA</t>
        </is>
      </c>
      <c r="B195" t="inlineStr">
        <is>
          <t>US</t>
        </is>
      </c>
      <c r="C195" s="7" t="n">
        <v>194</v>
      </c>
      <c r="D195" s="7" t="inlineStr">
        <is>
          <t>Cloud Toronto Venture Capital</t>
        </is>
      </c>
      <c r="E195" s="7" t="inlineStr">
        <is>
          <t>CLIMATE</t>
        </is>
      </c>
      <c r="F195" s="8" t="inlineStr">
        <is>
          <t>YES</t>
        </is>
      </c>
      <c r="G195" s="7">
        <f>HYPERLINK("http://www.cloudtoronto.vc", "www.cloudtoronto.vc")</f>
        <v/>
      </c>
      <c r="H195" s="7" t="inlineStr">
        <is>
          <t>AUM: $255.8B | Portfolio: 17 companies</t>
        </is>
      </c>
      <c r="I195" s="7" t="inlineStr">
        <is>
          <t>PitchBook</t>
        </is>
      </c>
    </row>
    <row r="196">
      <c r="A196" s="7" t="inlineStr">
        <is>
          <t>CA</t>
        </is>
      </c>
      <c r="B196" t="inlineStr">
        <is>
          <t>US</t>
        </is>
      </c>
      <c r="C196" s="7" t="n">
        <v>195</v>
      </c>
      <c r="D196" s="7" t="inlineStr">
        <is>
          <t>Ethos VC</t>
        </is>
      </c>
      <c r="E196" s="7" t="inlineStr">
        <is>
          <t>CLIMATE</t>
        </is>
      </c>
      <c r="F196" s="8" t="inlineStr">
        <is>
          <t>YES</t>
        </is>
      </c>
      <c r="G196" s="7">
        <f>HYPERLINK("http://www.ethos.vc", "www.ethos.vc")</f>
        <v/>
      </c>
      <c r="H196" s="7" t="inlineStr">
        <is>
          <t>AUM: $255.8B | Portfolio: 34 companies</t>
        </is>
      </c>
      <c r="I196" s="7" t="inlineStr">
        <is>
          <t>PitchBook</t>
        </is>
      </c>
    </row>
    <row r="197">
      <c r="A197" s="7" t="inlineStr">
        <is>
          <t>CA</t>
        </is>
      </c>
      <c r="B197" t="inlineStr">
        <is>
          <t>US</t>
        </is>
      </c>
      <c r="C197" s="7" t="n">
        <v>196</v>
      </c>
      <c r="D197" s="7" t="inlineStr">
        <is>
          <t>Graphene Ventures</t>
        </is>
      </c>
      <c r="E197" s="7" t="inlineStr">
        <is>
          <t>FOOD</t>
        </is>
      </c>
      <c r="F197" s="8" t="inlineStr">
        <is>
          <t>YES</t>
        </is>
      </c>
      <c r="G197" s="7">
        <f>HYPERLINK("http://www.graphenevc.com", "www.graphenevc.com")</f>
        <v/>
      </c>
      <c r="H197" s="7" t="inlineStr">
        <is>
          <t>AUM: $255.8B | Portfolio: 40 companies</t>
        </is>
      </c>
      <c r="I197" s="7" t="inlineStr">
        <is>
          <t>PitchBook</t>
        </is>
      </c>
    </row>
    <row r="198">
      <c r="A198" s="7" t="inlineStr">
        <is>
          <t>CA</t>
        </is>
      </c>
      <c r="B198" t="inlineStr">
        <is>
          <t>US</t>
        </is>
      </c>
      <c r="C198" s="7" t="n">
        <v>197</v>
      </c>
      <c r="D198" s="7" t="inlineStr">
        <is>
          <t>LvlUp Ventures</t>
        </is>
      </c>
      <c r="E198" s="7" t="inlineStr">
        <is>
          <t>CLIMATE</t>
        </is>
      </c>
      <c r="F198" s="8" t="inlineStr">
        <is>
          <t>YES</t>
        </is>
      </c>
      <c r="G198" s="7">
        <f>HYPERLINK("http://www.lvlup.vc", "www.lvlup.vc")</f>
        <v/>
      </c>
      <c r="H198" s="7" t="inlineStr">
        <is>
          <t>AUM: $255.8B | Portfolio: 591 companies</t>
        </is>
      </c>
      <c r="I198" s="7" t="inlineStr">
        <is>
          <t>PitchBook</t>
        </is>
      </c>
    </row>
    <row r="199">
      <c r="A199" s="7" t="inlineStr">
        <is>
          <t>NY</t>
        </is>
      </c>
      <c r="B199" t="inlineStr">
        <is>
          <t>US</t>
        </is>
      </c>
      <c r="C199" s="7" t="n">
        <v>198</v>
      </c>
      <c r="D199" s="7" t="inlineStr">
        <is>
          <t>Maniv Mobility</t>
        </is>
      </c>
      <c r="E199" s="7" t="inlineStr">
        <is>
          <t>CLIMATE</t>
        </is>
      </c>
      <c r="F199" s="8" t="inlineStr">
        <is>
          <t>YES</t>
        </is>
      </c>
      <c r="G199" s="7">
        <f>HYPERLINK("http://www.maniv.com", "www.maniv.com")</f>
        <v/>
      </c>
      <c r="H199" s="7" t="inlineStr">
        <is>
          <t>AUM: $255.8B | Portfolio: 34 companies</t>
        </is>
      </c>
      <c r="I199" s="7" t="inlineStr">
        <is>
          <t>PitchBook</t>
        </is>
      </c>
    </row>
    <row r="200">
      <c r="A200" s="7" t="inlineStr">
        <is>
          <t>CA</t>
        </is>
      </c>
      <c r="B200" t="inlineStr">
        <is>
          <t>US</t>
        </is>
      </c>
      <c r="C200" s="7" t="n">
        <v>199</v>
      </c>
      <c r="D200" s="7" t="inlineStr">
        <is>
          <t>Yamaha Motor Ventures</t>
        </is>
      </c>
      <c r="E200" s="7" t="inlineStr">
        <is>
          <t>CLIMATE</t>
        </is>
      </c>
      <c r="F200" s="8" t="inlineStr">
        <is>
          <t>YES</t>
        </is>
      </c>
      <c r="G200" s="7">
        <f>HYPERLINK("http://www.yamahamotor.vc", "www.yamahamotor.vc")</f>
        <v/>
      </c>
      <c r="H200" s="7" t="inlineStr">
        <is>
          <t>AUM: $255.8B | Portfolio: 31 companies</t>
        </is>
      </c>
      <c r="I200" s="7" t="inlineStr">
        <is>
          <t>PitchBook</t>
        </is>
      </c>
    </row>
    <row r="201">
      <c r="A201" s="7" t="inlineStr">
        <is>
          <t>Greece</t>
        </is>
      </c>
      <c r="B201" t="inlineStr">
        <is>
          <t>EU</t>
        </is>
      </c>
      <c r="C201" s="7" t="n">
        <v>200</v>
      </c>
      <c r="D201" s="7" t="inlineStr">
        <is>
          <t>Big Pi Ventures</t>
        </is>
      </c>
      <c r="E201" s="7" t="inlineStr">
        <is>
          <t>CLIMATE</t>
        </is>
      </c>
      <c r="F201" s="8" t="inlineStr">
        <is>
          <t>YES</t>
        </is>
      </c>
      <c r="G201" s="7">
        <f>HYPERLINK("http://www.bigpi.vc", "www.bigpi.vc")</f>
        <v/>
      </c>
      <c r="H201" s="7" t="inlineStr">
        <is>
          <t>AUM: $250.0B | Portfolio: 29 companies</t>
        </is>
      </c>
      <c r="I201" s="7" t="inlineStr">
        <is>
          <t>PitchBook</t>
        </is>
      </c>
    </row>
    <row r="202">
      <c r="A202" s="7" t="inlineStr">
        <is>
          <t>CA</t>
        </is>
      </c>
      <c r="B202" t="inlineStr">
        <is>
          <t>US</t>
        </is>
      </c>
      <c r="C202" s="7" t="n">
        <v>201</v>
      </c>
      <c r="D202" s="7" t="inlineStr">
        <is>
          <t>Bessemer Venture Partners</t>
        </is>
      </c>
      <c r="E202" s="7" t="inlineStr">
        <is>
          <t>DEEPTECH</t>
        </is>
      </c>
      <c r="F202" s="9" t="inlineStr">
        <is>
          <t>MAYBE</t>
        </is>
      </c>
      <c r="G202" s="7">
        <f>HYPERLINK("http://www.bvp.com", "www.bvp.com")</f>
        <v/>
      </c>
      <c r="H202" s="7" t="inlineStr">
        <is>
          <t>AUM: $17257.1B | Portfolio: 449 companies</t>
        </is>
      </c>
      <c r="I202" s="7" t="inlineStr">
        <is>
          <t>PitchBook</t>
        </is>
      </c>
    </row>
    <row r="203">
      <c r="A203" s="7" t="inlineStr">
        <is>
          <t>CA</t>
        </is>
      </c>
      <c r="B203" t="inlineStr">
        <is>
          <t>US</t>
        </is>
      </c>
      <c r="C203" s="7" t="n">
        <v>202</v>
      </c>
      <c r="D203" s="7" t="inlineStr">
        <is>
          <t>Kleiner Perkins</t>
        </is>
      </c>
      <c r="E203" s="7" t="inlineStr">
        <is>
          <t>DEEPTECH</t>
        </is>
      </c>
      <c r="F203" s="9" t="inlineStr">
        <is>
          <t>MAYBE</t>
        </is>
      </c>
      <c r="G203" s="7">
        <f>HYPERLINK("http://www.kleinerperkins.com", "www.kleinerperkins.com")</f>
        <v/>
      </c>
      <c r="H203" s="7" t="inlineStr">
        <is>
          <t>AUM: $17053.2B | Portfolio: 290 companies</t>
        </is>
      </c>
      <c r="I203" s="7" t="inlineStr">
        <is>
          <t>PitchBook</t>
        </is>
      </c>
    </row>
    <row r="204">
      <c r="A204" s="7" t="inlineStr">
        <is>
          <t>NY</t>
        </is>
      </c>
      <c r="B204" t="inlineStr">
        <is>
          <t>US</t>
        </is>
      </c>
      <c r="C204" s="7" t="n">
        <v>203</v>
      </c>
      <c r="D204" s="7" t="inlineStr">
        <is>
          <t>OrbiMed</t>
        </is>
      </c>
      <c r="E204" s="7" t="inlineStr">
        <is>
          <t>DEEPTECH</t>
        </is>
      </c>
      <c r="F204" s="9" t="inlineStr">
        <is>
          <t>MAYBE</t>
        </is>
      </c>
      <c r="G204" s="7">
        <f>HYPERLINK("http://www.orbimed.com", "www.orbimed.com")</f>
        <v/>
      </c>
      <c r="H204" s="7" t="inlineStr">
        <is>
          <t>AUM: $17053.2B | Portfolio: 240 companies</t>
        </is>
      </c>
      <c r="I204" s="7" t="inlineStr">
        <is>
          <t>PitchBook</t>
        </is>
      </c>
    </row>
    <row r="205">
      <c r="A205" s="7" t="inlineStr">
        <is>
          <t>MA</t>
        </is>
      </c>
      <c r="B205" t="inlineStr">
        <is>
          <t>US</t>
        </is>
      </c>
      <c r="C205" s="7" t="n">
        <v>204</v>
      </c>
      <c r="D205" s="7" t="inlineStr">
        <is>
          <t>Battery Ventures</t>
        </is>
      </c>
      <c r="E205" s="7" t="inlineStr">
        <is>
          <t>DEEPTECH</t>
        </is>
      </c>
      <c r="F205" s="9" t="inlineStr">
        <is>
          <t>MAYBE</t>
        </is>
      </c>
      <c r="G205" s="7">
        <f>HYPERLINK("http://www.battery.com", "www.battery.com")</f>
        <v/>
      </c>
      <c r="H205" s="7" t="inlineStr">
        <is>
          <t>AUM: $13309.1B | Portfolio: 205 companies</t>
        </is>
      </c>
      <c r="I205" s="7" t="inlineStr">
        <is>
          <t>PitchBook</t>
        </is>
      </c>
    </row>
    <row r="206">
      <c r="A206" s="7" t="inlineStr">
        <is>
          <t>CA</t>
        </is>
      </c>
      <c r="B206" t="inlineStr">
        <is>
          <t>US</t>
        </is>
      </c>
      <c r="C206" s="7" t="n">
        <v>205</v>
      </c>
      <c r="D206" s="7" t="inlineStr">
        <is>
          <t>Canaan Partners</t>
        </is>
      </c>
      <c r="E206" s="7" t="inlineStr">
        <is>
          <t>DEEPTECH</t>
        </is>
      </c>
      <c r="F206" s="9" t="inlineStr">
        <is>
          <t>MAYBE</t>
        </is>
      </c>
      <c r="G206" s="7">
        <f>HYPERLINK("http://www.canaan.com", "www.canaan.com")</f>
        <v/>
      </c>
      <c r="H206" s="7" t="inlineStr">
        <is>
          <t>AUM: $5968.6B | Portfolio: 173 companies</t>
        </is>
      </c>
      <c r="I206" s="7" t="inlineStr">
        <is>
          <t>PitchBook</t>
        </is>
      </c>
    </row>
    <row r="207">
      <c r="A207" s="7" t="inlineStr">
        <is>
          <t>WA</t>
        </is>
      </c>
      <c r="B207" t="inlineStr">
        <is>
          <t>US</t>
        </is>
      </c>
      <c r="C207" s="7" t="n">
        <v>206</v>
      </c>
      <c r="D207" s="7" t="inlineStr">
        <is>
          <t>Frazier Healthcare Partners</t>
        </is>
      </c>
      <c r="E207" s="7" t="inlineStr">
        <is>
          <t>DEEPTECH</t>
        </is>
      </c>
      <c r="F207" s="9" t="inlineStr">
        <is>
          <t>MAYBE</t>
        </is>
      </c>
      <c r="G207" s="7">
        <f>HYPERLINK("http://www.frazierhealthcare.com", "www.frazierhealthcare.com")</f>
        <v/>
      </c>
      <c r="H207" s="7" t="inlineStr">
        <is>
          <t>AUM: $5940.4B | Portfolio: 59 companies</t>
        </is>
      </c>
      <c r="I207" s="7" t="inlineStr">
        <is>
          <t>PitchBook</t>
        </is>
      </c>
    </row>
    <row r="208">
      <c r="A208" s="7" t="inlineStr">
        <is>
          <t>Singapore</t>
        </is>
      </c>
      <c r="B208" t="inlineStr">
        <is>
          <t>Other</t>
        </is>
      </c>
      <c r="C208" s="7" t="n">
        <v>207</v>
      </c>
      <c r="D208" s="7" t="inlineStr">
        <is>
          <t>Vertex Holdings</t>
        </is>
      </c>
      <c r="E208" s="7" t="inlineStr">
        <is>
          <t>DEEPTECH</t>
        </is>
      </c>
      <c r="F208" s="9" t="inlineStr">
        <is>
          <t>MAYBE</t>
        </is>
      </c>
      <c r="G208" s="7">
        <f>HYPERLINK("http://www.vertexholdings.com", "www.vertexholdings.com")</f>
        <v/>
      </c>
      <c r="H208" s="7" t="inlineStr">
        <is>
          <t>AUM: $5798.1B | Portfolio: 12 companies</t>
        </is>
      </c>
      <c r="I208" s="7" t="inlineStr">
        <is>
          <t>PitchBook</t>
        </is>
      </c>
    </row>
    <row r="209">
      <c r="A209" s="7" t="inlineStr">
        <is>
          <t>CA</t>
        </is>
      </c>
      <c r="B209" t="inlineStr">
        <is>
          <t>US</t>
        </is>
      </c>
      <c r="C209" s="7" t="n">
        <v>208</v>
      </c>
      <c r="D209" s="7" t="inlineStr">
        <is>
          <t>Foundation Capital</t>
        </is>
      </c>
      <c r="E209" s="7" t="inlineStr">
        <is>
          <t>DEEPTECH</t>
        </is>
      </c>
      <c r="F209" s="9" t="inlineStr">
        <is>
          <t>MAYBE</t>
        </is>
      </c>
      <c r="G209" s="7">
        <f>HYPERLINK("http://www.foundationcapital.com", "www.foundationcapital.com")</f>
        <v/>
      </c>
      <c r="H209" s="7" t="inlineStr">
        <is>
          <t>AUM: $5115.9B | Portfolio: 203 companies</t>
        </is>
      </c>
      <c r="I209" s="7" t="inlineStr">
        <is>
          <t>PitchBook</t>
        </is>
      </c>
    </row>
    <row r="210">
      <c r="A210" s="7" t="inlineStr">
        <is>
          <t>Canada</t>
        </is>
      </c>
      <c r="B210" t="inlineStr">
        <is>
          <t>Other</t>
        </is>
      </c>
      <c r="C210" s="7" t="n">
        <v>209</v>
      </c>
      <c r="D210" s="7" t="inlineStr">
        <is>
          <t>Georgian</t>
        </is>
      </c>
      <c r="E210" s="7" t="inlineStr">
        <is>
          <t>DEEPTECH</t>
        </is>
      </c>
      <c r="F210" s="9" t="inlineStr">
        <is>
          <t>MAYBE</t>
        </is>
      </c>
      <c r="G210" s="7">
        <f>HYPERLINK("http://www.georgian.io", "www.georgian.io")</f>
        <v/>
      </c>
      <c r="H210" s="7" t="inlineStr">
        <is>
          <t>AUM: $5030.7B | Portfolio: 49 companies</t>
        </is>
      </c>
      <c r="I210" s="7" t="inlineStr">
        <is>
          <t>PitchBook</t>
        </is>
      </c>
    </row>
    <row r="211">
      <c r="A211" s="7" t="inlineStr">
        <is>
          <t>Netherlands</t>
        </is>
      </c>
      <c r="B211" t="inlineStr">
        <is>
          <t>EU</t>
        </is>
      </c>
      <c r="C211" s="7" t="n">
        <v>210</v>
      </c>
      <c r="D211" s="7" t="inlineStr">
        <is>
          <t>Forbion</t>
        </is>
      </c>
      <c r="E211" s="7" t="inlineStr">
        <is>
          <t>DEEPTECH</t>
        </is>
      </c>
      <c r="F211" s="9" t="inlineStr">
        <is>
          <t>MAYBE</t>
        </is>
      </c>
      <c r="G211" s="7">
        <f>HYPERLINK("http://www.forbion.com", "www.forbion.com")</f>
        <v/>
      </c>
      <c r="H211" s="7" t="inlineStr">
        <is>
          <t>AUM: $5000.0B | Portfolio: 65 companies</t>
        </is>
      </c>
      <c r="I211" s="7" t="inlineStr">
        <is>
          <t>PitchBook</t>
        </is>
      </c>
    </row>
    <row r="212">
      <c r="A212" s="7" t="inlineStr">
        <is>
          <t>NY</t>
        </is>
      </c>
      <c r="B212" t="inlineStr">
        <is>
          <t>US</t>
        </is>
      </c>
      <c r="C212" s="7" t="n">
        <v>211</v>
      </c>
      <c r="D212" s="7" t="inlineStr">
        <is>
          <t>Greycroft</t>
        </is>
      </c>
      <c r="E212" s="7" t="inlineStr">
        <is>
          <t>DEEPTECH</t>
        </is>
      </c>
      <c r="F212" s="9" t="inlineStr">
        <is>
          <t>MAYBE</t>
        </is>
      </c>
      <c r="G212" s="7">
        <f>HYPERLINK("http://www.greycroft.com", "www.greycroft.com")</f>
        <v/>
      </c>
      <c r="H212" s="7" t="inlineStr">
        <is>
          <t>AUM: $3850.6B | Portfolio: 306 companies</t>
        </is>
      </c>
      <c r="I212" s="7" t="inlineStr">
        <is>
          <t>PitchBook</t>
        </is>
      </c>
    </row>
    <row r="213">
      <c r="A213" s="7" t="inlineStr">
        <is>
          <t>CA</t>
        </is>
      </c>
      <c r="B213" t="inlineStr">
        <is>
          <t>US</t>
        </is>
      </c>
      <c r="C213" s="7" t="n">
        <v>212</v>
      </c>
      <c r="D213" s="7" t="inlineStr">
        <is>
          <t>Headline</t>
        </is>
      </c>
      <c r="E213" s="7" t="inlineStr">
        <is>
          <t>DEEPTECH</t>
        </is>
      </c>
      <c r="F213" s="9" t="inlineStr">
        <is>
          <t>MAYBE</t>
        </is>
      </c>
      <c r="G213" s="7">
        <f>HYPERLINK("http://www.headline.com", "www.headline.com")</f>
        <v/>
      </c>
      <c r="H213" s="7" t="inlineStr">
        <is>
          <t>AUM: $3410.6B | Portfolio: 282 companies</t>
        </is>
      </c>
      <c r="I213" s="7" t="inlineStr">
        <is>
          <t>PitchBook</t>
        </is>
      </c>
    </row>
    <row r="214">
      <c r="A214" s="7" t="inlineStr">
        <is>
          <t>CA</t>
        </is>
      </c>
      <c r="B214" t="inlineStr">
        <is>
          <t>US</t>
        </is>
      </c>
      <c r="C214" s="7" t="n">
        <v>213</v>
      </c>
      <c r="D214" s="7" t="inlineStr">
        <is>
          <t>Felicis</t>
        </is>
      </c>
      <c r="E214" s="7" t="inlineStr">
        <is>
          <t>DEEPTECH</t>
        </is>
      </c>
      <c r="F214" s="9" t="inlineStr">
        <is>
          <t>MAYBE</t>
        </is>
      </c>
      <c r="G214" s="7">
        <f>HYPERLINK("http://www.felicis.com", "www.felicis.com")</f>
        <v/>
      </c>
      <c r="H214" s="7" t="inlineStr">
        <is>
          <t>AUM: $3325.4B | Portfolio: 229 companies</t>
        </is>
      </c>
      <c r="I214" s="7" t="inlineStr">
        <is>
          <t>PitchBook</t>
        </is>
      </c>
    </row>
    <row r="215">
      <c r="A215" s="7" t="inlineStr">
        <is>
          <t>CA</t>
        </is>
      </c>
      <c r="B215" t="inlineStr">
        <is>
          <t>US</t>
        </is>
      </c>
      <c r="C215" s="7" t="n">
        <v>214</v>
      </c>
      <c r="D215" s="7" t="inlineStr">
        <is>
          <t>GSR Ventures</t>
        </is>
      </c>
      <c r="E215" s="7" t="inlineStr">
        <is>
          <t>DEEPTECH</t>
        </is>
      </c>
      <c r="F215" s="9" t="inlineStr">
        <is>
          <t>MAYBE</t>
        </is>
      </c>
      <c r="G215" s="7">
        <f>HYPERLINK("http://gsrventuresglobal.com", "gsrventuresglobal.com")</f>
        <v/>
      </c>
      <c r="H215" s="7" t="inlineStr">
        <is>
          <t>AUM: $3154.8B | Portfolio: 267 companies</t>
        </is>
      </c>
      <c r="I215" s="7" t="inlineStr">
        <is>
          <t>PitchBook</t>
        </is>
      </c>
    </row>
    <row r="216">
      <c r="A216" s="7" t="inlineStr">
        <is>
          <t>China</t>
        </is>
      </c>
      <c r="B216" t="inlineStr">
        <is>
          <t>Other</t>
        </is>
      </c>
      <c r="C216" s="7" t="n">
        <v>215</v>
      </c>
      <c r="D216" s="7" t="inlineStr">
        <is>
          <t>Oceanpine Capital</t>
        </is>
      </c>
      <c r="E216" s="7" t="inlineStr">
        <is>
          <t>DEEPTECH</t>
        </is>
      </c>
      <c r="F216" s="9" t="inlineStr">
        <is>
          <t>MAYBE</t>
        </is>
      </c>
      <c r="G216" s="7">
        <f>HYPERLINK("http://www.oceanpine.com", "www.oceanpine.com")</f>
        <v/>
      </c>
      <c r="H216" s="7" t="inlineStr">
        <is>
          <t>AUM: $3121.9B | Portfolio: 73 companies</t>
        </is>
      </c>
      <c r="I216" s="7" t="inlineStr">
        <is>
          <t>PitchBook</t>
        </is>
      </c>
    </row>
    <row r="217">
      <c r="A217" s="7" t="inlineStr">
        <is>
          <t>France</t>
        </is>
      </c>
      <c r="B217" t="inlineStr">
        <is>
          <t>EU</t>
        </is>
      </c>
      <c r="C217" s="7" t="n">
        <v>216</v>
      </c>
      <c r="D217" s="7" t="inlineStr">
        <is>
          <t>Partech</t>
        </is>
      </c>
      <c r="E217" s="7" t="inlineStr">
        <is>
          <t>DEEPTECH</t>
        </is>
      </c>
      <c r="F217" s="9" t="inlineStr">
        <is>
          <t>MAYBE</t>
        </is>
      </c>
      <c r="G217" s="7">
        <f>HYPERLINK("http://www.partechpartners.com", "www.partechpartners.com")</f>
        <v/>
      </c>
      <c r="H217" s="7" t="inlineStr">
        <is>
          <t>AUM: $3000.0B | Portfolio: 214 companies</t>
        </is>
      </c>
      <c r="I217" s="7" t="inlineStr">
        <is>
          <t>PitchBook</t>
        </is>
      </c>
    </row>
    <row r="218">
      <c r="A218" s="7" t="inlineStr">
        <is>
          <t>Germany</t>
        </is>
      </c>
      <c r="B218" t="inlineStr">
        <is>
          <t>EU</t>
        </is>
      </c>
      <c r="C218" s="7" t="n">
        <v>217</v>
      </c>
      <c r="D218" s="7" t="inlineStr">
        <is>
          <t>Target Global</t>
        </is>
      </c>
      <c r="E218" s="7" t="inlineStr">
        <is>
          <t>DEEPTECH</t>
        </is>
      </c>
      <c r="F218" s="9" t="inlineStr">
        <is>
          <t>MAYBE</t>
        </is>
      </c>
      <c r="G218" s="7">
        <f>HYPERLINK("http://www.targetglobal.vc", "www.targetglobal.vc")</f>
        <v/>
      </c>
      <c r="H218" s="7" t="inlineStr">
        <is>
          <t>AUM: $3000.0B | Portfolio: 103 companies</t>
        </is>
      </c>
      <c r="I218" s="7" t="inlineStr">
        <is>
          <t>PitchBook</t>
        </is>
      </c>
    </row>
    <row r="219">
      <c r="A219" s="7" t="inlineStr">
        <is>
          <t>CA</t>
        </is>
      </c>
      <c r="B219" t="inlineStr">
        <is>
          <t>US</t>
        </is>
      </c>
      <c r="C219" s="7" t="n">
        <v>218</v>
      </c>
      <c r="D219" s="7" t="inlineStr">
        <is>
          <t>Nexus Venture Partners</t>
        </is>
      </c>
      <c r="E219" s="7" t="inlineStr">
        <is>
          <t>DEEPTECH</t>
        </is>
      </c>
      <c r="F219" s="9" t="inlineStr">
        <is>
          <t>MAYBE</t>
        </is>
      </c>
      <c r="G219" s="7">
        <f>HYPERLINK("http://www.nexusvp.com", "www.nexusvp.com")</f>
        <v/>
      </c>
      <c r="H219" s="7" t="inlineStr">
        <is>
          <t>AUM: $2728.5B | Portfolio: 135 companies</t>
        </is>
      </c>
      <c r="I219" s="7" t="inlineStr">
        <is>
          <t>PitchBook</t>
        </is>
      </c>
    </row>
    <row r="220">
      <c r="A220" s="7" t="inlineStr">
        <is>
          <t>CA</t>
        </is>
      </c>
      <c r="B220" t="inlineStr">
        <is>
          <t>US</t>
        </is>
      </c>
      <c r="C220" s="7" t="n">
        <v>219</v>
      </c>
      <c r="D220" s="7" t="inlineStr">
        <is>
          <t>Forerunner Ventures</t>
        </is>
      </c>
      <c r="E220" s="7" t="inlineStr">
        <is>
          <t>DEEPTECH</t>
        </is>
      </c>
      <c r="F220" s="9" t="inlineStr">
        <is>
          <t>MAYBE</t>
        </is>
      </c>
      <c r="G220" s="7">
        <f>HYPERLINK("http://www.forerunnerventures.com", "www.forerunnerventures.com")</f>
        <v/>
      </c>
      <c r="H220" s="7" t="inlineStr">
        <is>
          <t>AUM: $2558.0B | Portfolio: 109 companies</t>
        </is>
      </c>
      <c r="I220" s="7" t="inlineStr">
        <is>
          <t>PitchBook</t>
        </is>
      </c>
    </row>
    <row r="221">
      <c r="A221" s="7" t="inlineStr">
        <is>
          <t>United Kingdom</t>
        </is>
      </c>
      <c r="B221" t="inlineStr">
        <is>
          <t>EU</t>
        </is>
      </c>
      <c r="C221" s="7" t="n">
        <v>220</v>
      </c>
      <c r="D221" s="7" t="inlineStr">
        <is>
          <t>RTP Global</t>
        </is>
      </c>
      <c r="E221" s="7" t="inlineStr">
        <is>
          <t>DEEPTECH</t>
        </is>
      </c>
      <c r="F221" s="9" t="inlineStr">
        <is>
          <t>MAYBE</t>
        </is>
      </c>
      <c r="G221" s="7">
        <f>HYPERLINK("http://www.rtp.vc", "www.rtp.vc")</f>
        <v/>
      </c>
      <c r="H221" s="7" t="inlineStr">
        <is>
          <t>AUM: $2558.0B | Portfolio: 136 companies</t>
        </is>
      </c>
      <c r="I221" s="7" t="inlineStr">
        <is>
          <t>PitchBook</t>
        </is>
      </c>
    </row>
    <row r="222">
      <c r="A222" s="7" t="inlineStr">
        <is>
          <t>CA</t>
        </is>
      </c>
      <c r="B222" t="inlineStr">
        <is>
          <t>US</t>
        </is>
      </c>
      <c r="C222" s="7" t="n">
        <v>221</v>
      </c>
      <c r="D222" s="7" t="inlineStr">
        <is>
          <t>SignalFire</t>
        </is>
      </c>
      <c r="E222" s="7" t="inlineStr">
        <is>
          <t>DEEPTECH</t>
        </is>
      </c>
      <c r="F222" s="9" t="inlineStr">
        <is>
          <t>MAYBE</t>
        </is>
      </c>
      <c r="G222" s="7">
        <f>HYPERLINK("http://www.signalfire.com", "www.signalfire.com")</f>
        <v/>
      </c>
      <c r="H222" s="7" t="inlineStr">
        <is>
          <t>AUM: $2558.0B | Portfolio: 162 companies</t>
        </is>
      </c>
      <c r="I222" s="7" t="inlineStr">
        <is>
          <t>PitchBook</t>
        </is>
      </c>
    </row>
    <row r="223">
      <c r="A223" s="7" t="inlineStr">
        <is>
          <t>UT</t>
        </is>
      </c>
      <c r="B223" t="inlineStr">
        <is>
          <t>US</t>
        </is>
      </c>
      <c r="C223" s="7" t="n">
        <v>222</v>
      </c>
      <c r="D223" s="7" t="inlineStr">
        <is>
          <t>Peterson Partners</t>
        </is>
      </c>
      <c r="E223" s="7" t="inlineStr">
        <is>
          <t>DEEPTECH</t>
        </is>
      </c>
      <c r="F223" s="9" t="inlineStr">
        <is>
          <t>MAYBE</t>
        </is>
      </c>
      <c r="G223" s="7">
        <f>HYPERLINK("http://www.petersonpartners.com", "www.petersonpartners.com")</f>
        <v/>
      </c>
      <c r="H223" s="7" t="inlineStr">
        <is>
          <t>AUM: $2526.4B | Portfolio: 121 companies</t>
        </is>
      </c>
      <c r="I223" s="7" t="inlineStr">
        <is>
          <t>PitchBook</t>
        </is>
      </c>
    </row>
    <row r="224">
      <c r="A224" s="7" t="inlineStr">
        <is>
          <t>United Kingdom</t>
        </is>
      </c>
      <c r="B224" t="inlineStr">
        <is>
          <t>EU</t>
        </is>
      </c>
      <c r="C224" s="7" t="n">
        <v>223</v>
      </c>
      <c r="D224" s="7" t="inlineStr">
        <is>
          <t>Downing Ventures</t>
        </is>
      </c>
      <c r="E224" s="7" t="inlineStr">
        <is>
          <t>DEEPTECH</t>
        </is>
      </c>
      <c r="F224" s="9" t="inlineStr">
        <is>
          <t>MAYBE</t>
        </is>
      </c>
      <c r="G224" s="7" t="inlineStr"/>
      <c r="H224" s="7" t="inlineStr">
        <is>
          <t>AUM: $2419.6B | Portfolio: 0 companies</t>
        </is>
      </c>
      <c r="I224" s="7" t="inlineStr">
        <is>
          <t>PitchBook</t>
        </is>
      </c>
    </row>
    <row r="225">
      <c r="A225" s="7" t="inlineStr">
        <is>
          <t>CA</t>
        </is>
      </c>
      <c r="B225" t="inlineStr">
        <is>
          <t>US</t>
        </is>
      </c>
      <c r="C225" s="7" t="n">
        <v>224</v>
      </c>
      <c r="D225" s="7" t="inlineStr">
        <is>
          <t>Scale Venture Partners</t>
        </is>
      </c>
      <c r="E225" s="7" t="inlineStr">
        <is>
          <t>DEEPTECH</t>
        </is>
      </c>
      <c r="F225" s="9" t="inlineStr">
        <is>
          <t>MAYBE</t>
        </is>
      </c>
      <c r="G225" s="7">
        <f>HYPERLINK("http://www.scalevp.com", "www.scalevp.com")</f>
        <v/>
      </c>
      <c r="H225" s="7" t="inlineStr">
        <is>
          <t>AUM: $2387.4B | Portfolio: 78 companies</t>
        </is>
      </c>
      <c r="I225" s="7" t="inlineStr">
        <is>
          <t>PitchBook</t>
        </is>
      </c>
    </row>
    <row r="226">
      <c r="A226" s="7" t="inlineStr">
        <is>
          <t>South Korea</t>
        </is>
      </c>
      <c r="B226" t="inlineStr">
        <is>
          <t>Other</t>
        </is>
      </c>
      <c r="C226" s="7" t="n">
        <v>225</v>
      </c>
      <c r="D226" s="7" t="inlineStr">
        <is>
          <t>Korea Investment Partners</t>
        </is>
      </c>
      <c r="E226" s="7" t="inlineStr">
        <is>
          <t>DEEPTECH</t>
        </is>
      </c>
      <c r="F226" s="9" t="inlineStr">
        <is>
          <t>MAYBE</t>
        </is>
      </c>
      <c r="G226" s="7">
        <f>HYPERLINK("http://partners.koreainvestment.com", "partners.koreainvestment.com")</f>
        <v/>
      </c>
      <c r="H226" s="7" t="inlineStr">
        <is>
          <t>AUM: $2366.6B | Portfolio: 504 companies</t>
        </is>
      </c>
      <c r="I226" s="7" t="inlineStr">
        <is>
          <t>PitchBook</t>
        </is>
      </c>
    </row>
    <row r="227">
      <c r="A227" s="7" t="inlineStr">
        <is>
          <t>MA</t>
        </is>
      </c>
      <c r="B227" t="inlineStr">
        <is>
          <t>US</t>
        </is>
      </c>
      <c r="C227" s="7" t="n">
        <v>226</v>
      </c>
      <c r="D227" s="7" t="inlineStr">
        <is>
          <t>Atlas Venture</t>
        </is>
      </c>
      <c r="E227" s="7" t="inlineStr">
        <is>
          <t>DEEPTECH</t>
        </is>
      </c>
      <c r="F227" s="9" t="inlineStr">
        <is>
          <t>MAYBE</t>
        </is>
      </c>
      <c r="G227" s="7">
        <f>HYPERLINK("http://www.atlasventure.com", "www.atlasventure.com")</f>
        <v/>
      </c>
      <c r="H227" s="7" t="inlineStr">
        <is>
          <t>AUM: $2314.0B | Portfolio: 42 companies</t>
        </is>
      </c>
      <c r="I227" s="7" t="inlineStr">
        <is>
          <t>PitchBook</t>
        </is>
      </c>
    </row>
    <row r="228">
      <c r="A228" s="7" t="inlineStr">
        <is>
          <t>CA</t>
        </is>
      </c>
      <c r="B228" t="inlineStr">
        <is>
          <t>US</t>
        </is>
      </c>
      <c r="C228" s="7" t="n">
        <v>227</v>
      </c>
      <c r="D228" s="7" t="inlineStr">
        <is>
          <t>The Chernin Group</t>
        </is>
      </c>
      <c r="E228" s="7" t="inlineStr">
        <is>
          <t>DEEPTECH</t>
        </is>
      </c>
      <c r="F228" s="9" t="inlineStr">
        <is>
          <t>MAYBE</t>
        </is>
      </c>
      <c r="G228" s="7">
        <f>HYPERLINK("http://www.tcg.co", "www.tcg.co")</f>
        <v/>
      </c>
      <c r="H228" s="7" t="inlineStr">
        <is>
          <t>AUM: $2257.8B | Portfolio: 73 companies</t>
        </is>
      </c>
      <c r="I228" s="7" t="inlineStr">
        <is>
          <t>PitchBook</t>
        </is>
      </c>
    </row>
    <row r="229">
      <c r="A229" s="7" t="inlineStr">
        <is>
          <t>Netherlands</t>
        </is>
      </c>
      <c r="B229" t="inlineStr">
        <is>
          <t>EU</t>
        </is>
      </c>
      <c r="C229" s="7" t="n">
        <v>228</v>
      </c>
      <c r="D229" s="7" t="inlineStr">
        <is>
          <t>EQT Life Sciences</t>
        </is>
      </c>
      <c r="E229" s="7" t="inlineStr">
        <is>
          <t>DEEPTECH</t>
        </is>
      </c>
      <c r="F229" s="9" t="inlineStr">
        <is>
          <t>MAYBE</t>
        </is>
      </c>
      <c r="G229" s="7">
        <f>HYPERLINK("http://www.lspvc.com", "www.lspvc.com")</f>
        <v/>
      </c>
      <c r="H229" s="7" t="inlineStr">
        <is>
          <t>AUM: $2200.0B | Portfolio: 58 companies</t>
        </is>
      </c>
      <c r="I229" s="7" t="inlineStr">
        <is>
          <t>PitchBook</t>
        </is>
      </c>
    </row>
    <row r="230">
      <c r="A230" s="7" t="inlineStr">
        <is>
          <t>CA</t>
        </is>
      </c>
      <c r="B230" t="inlineStr">
        <is>
          <t>US</t>
        </is>
      </c>
      <c r="C230" s="7" t="n">
        <v>229</v>
      </c>
      <c r="D230" s="7" t="inlineStr">
        <is>
          <t>CRV</t>
        </is>
      </c>
      <c r="E230" s="7" t="inlineStr">
        <is>
          <t>DEEPTECH</t>
        </is>
      </c>
      <c r="F230" s="9" t="inlineStr">
        <is>
          <t>MAYBE</t>
        </is>
      </c>
      <c r="G230" s="7">
        <f>HYPERLINK("http://www.crv.com", "www.crv.com")</f>
        <v/>
      </c>
      <c r="H230" s="7" t="inlineStr">
        <is>
          <t>AUM: $2131.7B | Portfolio: 187 companies</t>
        </is>
      </c>
      <c r="I230" s="7" t="inlineStr">
        <is>
          <t>PitchBook</t>
        </is>
      </c>
    </row>
    <row r="231">
      <c r="A231" s="7" t="inlineStr">
        <is>
          <t>Switzerland</t>
        </is>
      </c>
      <c r="B231" t="inlineStr">
        <is>
          <t>EU</t>
        </is>
      </c>
      <c r="C231" s="7" t="n">
        <v>230</v>
      </c>
      <c r="D231" s="7" t="inlineStr">
        <is>
          <t>Lakestar</t>
        </is>
      </c>
      <c r="E231" s="7" t="inlineStr">
        <is>
          <t>DEEPTECH</t>
        </is>
      </c>
      <c r="F231" s="9" t="inlineStr">
        <is>
          <t>MAYBE</t>
        </is>
      </c>
      <c r="G231" s="7">
        <f>HYPERLINK("http://lakestar.com", "lakestar.com")</f>
        <v/>
      </c>
      <c r="H231" s="7" t="inlineStr">
        <is>
          <t>AUM: $2000.0B | Portfolio: 107 companies</t>
        </is>
      </c>
      <c r="I231" s="7" t="inlineStr">
        <is>
          <t>PitchBook</t>
        </is>
      </c>
    </row>
    <row r="232">
      <c r="A232" s="7" t="inlineStr">
        <is>
          <t>Belgium</t>
        </is>
      </c>
      <c r="B232" t="inlineStr">
        <is>
          <t>EU</t>
        </is>
      </c>
      <c r="C232" s="7" t="n">
        <v>231</v>
      </c>
      <c r="D232" s="7" t="inlineStr">
        <is>
          <t>Verlinvest</t>
        </is>
      </c>
      <c r="E232" s="7" t="inlineStr">
        <is>
          <t>DEEPTECH</t>
        </is>
      </c>
      <c r="F232" s="9" t="inlineStr">
        <is>
          <t>MAYBE</t>
        </is>
      </c>
      <c r="G232" s="7">
        <f>HYPERLINK("http://www.verlinvest.com", "www.verlinvest.com")</f>
        <v/>
      </c>
      <c r="H232" s="7" t="inlineStr">
        <is>
          <t>AUM: $2000.0B | Portfolio: 47 companies</t>
        </is>
      </c>
      <c r="I232" s="7" t="inlineStr">
        <is>
          <t>PitchBook</t>
        </is>
      </c>
    </row>
    <row r="233">
      <c r="A233" s="7" t="inlineStr">
        <is>
          <t>CA</t>
        </is>
      </c>
      <c r="B233" t="inlineStr">
        <is>
          <t>US</t>
        </is>
      </c>
      <c r="C233" s="7" t="n">
        <v>232</v>
      </c>
      <c r="D233" s="7" t="inlineStr">
        <is>
          <t>500 Global</t>
        </is>
      </c>
      <c r="E233" s="7" t="inlineStr">
        <is>
          <t>DEEPTECH</t>
        </is>
      </c>
      <c r="F233" s="9" t="inlineStr">
        <is>
          <t>MAYBE</t>
        </is>
      </c>
      <c r="G233" s="7">
        <f>HYPERLINK("http://www.500.co", "www.500.co")</f>
        <v/>
      </c>
      <c r="H233" s="7" t="inlineStr">
        <is>
          <t>AUM: $1961.1B | Portfolio: 1569 companies</t>
        </is>
      </c>
      <c r="I233" s="7" t="inlineStr">
        <is>
          <t>PitchBook</t>
        </is>
      </c>
    </row>
    <row r="234">
      <c r="A234" s="7" t="inlineStr">
        <is>
          <t>NY</t>
        </is>
      </c>
      <c r="B234" t="inlineStr">
        <is>
          <t>US</t>
        </is>
      </c>
      <c r="C234" s="7" t="n">
        <v>233</v>
      </c>
      <c r="D234" s="7" t="inlineStr">
        <is>
          <t>Two Sigma Ventures</t>
        </is>
      </c>
      <c r="E234" s="7" t="inlineStr">
        <is>
          <t>DEEPTECH</t>
        </is>
      </c>
      <c r="F234" s="9" t="inlineStr">
        <is>
          <t>MAYBE</t>
        </is>
      </c>
      <c r="G234" s="7">
        <f>HYPERLINK("http://twosigmaventures.com", "twosigmaventures.com")</f>
        <v/>
      </c>
      <c r="H234" s="7" t="inlineStr">
        <is>
          <t>AUM: $1898.0B | Portfolio: 86 companies</t>
        </is>
      </c>
      <c r="I234" s="7" t="inlineStr">
        <is>
          <t>PitchBook</t>
        </is>
      </c>
    </row>
    <row r="235">
      <c r="A235" s="7" t="inlineStr">
        <is>
          <t>OH</t>
        </is>
      </c>
      <c r="B235" t="inlineStr">
        <is>
          <t>US</t>
        </is>
      </c>
      <c r="C235" s="7" t="n">
        <v>234</v>
      </c>
      <c r="D235" s="7" t="inlineStr">
        <is>
          <t>Drive Capital</t>
        </is>
      </c>
      <c r="E235" s="7" t="inlineStr">
        <is>
          <t>DEEPTECH</t>
        </is>
      </c>
      <c r="F235" s="9" t="inlineStr">
        <is>
          <t>MAYBE</t>
        </is>
      </c>
      <c r="G235" s="7">
        <f>HYPERLINK("http://www.drivecapital.com", "www.drivecapital.com")</f>
        <v/>
      </c>
      <c r="H235" s="7" t="inlineStr">
        <is>
          <t>AUM: $1875.8B | Portfolio: 84 companies</t>
        </is>
      </c>
      <c r="I235" s="7" t="inlineStr">
        <is>
          <t>PitchBook</t>
        </is>
      </c>
    </row>
    <row r="236">
      <c r="A236" s="7" t="inlineStr">
        <is>
          <t>CA</t>
        </is>
      </c>
      <c r="B236" t="inlineStr">
        <is>
          <t>US</t>
        </is>
      </c>
      <c r="C236" s="7" t="n">
        <v>235</v>
      </c>
      <c r="D236" s="7" t="inlineStr">
        <is>
          <t>Qualcomm Ventures</t>
        </is>
      </c>
      <c r="E236" s="7" t="inlineStr">
        <is>
          <t>DEEPTECH</t>
        </is>
      </c>
      <c r="F236" s="9" t="inlineStr">
        <is>
          <t>MAYBE</t>
        </is>
      </c>
      <c r="G236" s="7">
        <f>HYPERLINK("http://www.qualcommventures.com", "www.qualcommventures.com")</f>
        <v/>
      </c>
      <c r="H236" s="7" t="inlineStr">
        <is>
          <t>AUM: $1705.3B | Portfolio: 175 companies</t>
        </is>
      </c>
      <c r="I236" s="7" t="inlineStr">
        <is>
          <t>PitchBook</t>
        </is>
      </c>
    </row>
    <row r="237">
      <c r="A237" s="7" t="inlineStr">
        <is>
          <t>MA</t>
        </is>
      </c>
      <c r="B237" t="inlineStr">
        <is>
          <t>US</t>
        </is>
      </c>
      <c r="C237" s="7" t="n">
        <v>236</v>
      </c>
      <c r="D237" s="7" t="inlineStr">
        <is>
          <t>SV Health Investors</t>
        </is>
      </c>
      <c r="E237" s="7" t="inlineStr">
        <is>
          <t>DEEPTECH</t>
        </is>
      </c>
      <c r="F237" s="9" t="inlineStr">
        <is>
          <t>MAYBE</t>
        </is>
      </c>
      <c r="G237" s="7">
        <f>HYPERLINK("http://www.svhealthinvestors.com", "www.svhealthinvestors.com")</f>
        <v/>
      </c>
      <c r="H237" s="7" t="inlineStr">
        <is>
          <t>AUM: $1705.3B | Portfolio: 75 companies</t>
        </is>
      </c>
      <c r="I237" s="7" t="inlineStr">
        <is>
          <t>PitchBook</t>
        </is>
      </c>
    </row>
    <row r="238">
      <c r="A238" s="7" t="inlineStr">
        <is>
          <t>France</t>
        </is>
      </c>
      <c r="B238" t="inlineStr">
        <is>
          <t>EU</t>
        </is>
      </c>
      <c r="C238" s="7" t="n">
        <v>237</v>
      </c>
      <c r="D238" s="7" t="inlineStr">
        <is>
          <t>Merieux Equity Partners (Lyon)</t>
        </is>
      </c>
      <c r="E238" s="7" t="inlineStr">
        <is>
          <t>DEEPTECH</t>
        </is>
      </c>
      <c r="F238" s="9" t="inlineStr">
        <is>
          <t>MAYBE</t>
        </is>
      </c>
      <c r="G238" s="7">
        <f>HYPERLINK("http://www.merieux-partners.com", "www.merieux-partners.com")</f>
        <v/>
      </c>
      <c r="H238" s="7" t="inlineStr">
        <is>
          <t>AUM: $1600.0B | Portfolio: 35 companies</t>
        </is>
      </c>
      <c r="I238" s="7" t="inlineStr">
        <is>
          <t>PitchBook</t>
        </is>
      </c>
    </row>
    <row r="239">
      <c r="A239" s="7" t="inlineStr">
        <is>
          <t>France</t>
        </is>
      </c>
      <c r="B239" t="inlineStr">
        <is>
          <t>EU</t>
        </is>
      </c>
      <c r="C239" s="7" t="n">
        <v>238</v>
      </c>
      <c r="D239" s="7" t="inlineStr">
        <is>
          <t>Quadrille Capital</t>
        </is>
      </c>
      <c r="E239" s="7" t="inlineStr">
        <is>
          <t>DEEPTECH</t>
        </is>
      </c>
      <c r="F239" s="9" t="inlineStr">
        <is>
          <t>MAYBE</t>
        </is>
      </c>
      <c r="G239" s="7">
        <f>HYPERLINK("http://www.quadrillecapital.com", "www.quadrillecapital.com")</f>
        <v/>
      </c>
      <c r="H239" s="7" t="inlineStr">
        <is>
          <t>AUM: $1600.0B | Portfolio: 33 companies</t>
        </is>
      </c>
      <c r="I239" s="7" t="inlineStr">
        <is>
          <t>PitchBook</t>
        </is>
      </c>
    </row>
    <row r="240">
      <c r="A240" s="7" t="inlineStr">
        <is>
          <t>Canada</t>
        </is>
      </c>
      <c r="B240" t="inlineStr">
        <is>
          <t>Other</t>
        </is>
      </c>
      <c r="C240" s="7" t="n">
        <v>239</v>
      </c>
      <c r="D240" s="7" t="inlineStr">
        <is>
          <t>OMERS Ventures</t>
        </is>
      </c>
      <c r="E240" s="7" t="inlineStr">
        <is>
          <t>DEEPTECH</t>
        </is>
      </c>
      <c r="F240" s="9" t="inlineStr">
        <is>
          <t>MAYBE</t>
        </is>
      </c>
      <c r="G240" s="7">
        <f>HYPERLINK("http://www.omersventures.com", "www.omersventures.com")</f>
        <v/>
      </c>
      <c r="H240" s="7" t="inlineStr">
        <is>
          <t>AUM: $1534.8B | Portfolio: 72 companies</t>
        </is>
      </c>
      <c r="I240" s="7" t="inlineStr">
        <is>
          <t>PitchBook</t>
        </is>
      </c>
    </row>
    <row r="241">
      <c r="A241" s="7" t="inlineStr">
        <is>
          <t>MA</t>
        </is>
      </c>
      <c r="B241" t="inlineStr">
        <is>
          <t>US</t>
        </is>
      </c>
      <c r="C241" s="7" t="n">
        <v>240</v>
      </c>
      <c r="D241" s="7" t="inlineStr">
        <is>
          <t>Omega Funds</t>
        </is>
      </c>
      <c r="E241" s="7" t="inlineStr">
        <is>
          <t>DEEPTECH</t>
        </is>
      </c>
      <c r="F241" s="9" t="inlineStr">
        <is>
          <t>MAYBE</t>
        </is>
      </c>
      <c r="G241" s="7">
        <f>HYPERLINK("http://www.omegafunds.com", "www.omegafunds.com")</f>
        <v/>
      </c>
      <c r="H241" s="7" t="inlineStr">
        <is>
          <t>AUM: $1534.3B | Portfolio: 43 companies</t>
        </is>
      </c>
      <c r="I241" s="7" t="inlineStr">
        <is>
          <t>PitchBook</t>
        </is>
      </c>
    </row>
    <row r="242">
      <c r="A242" s="7" t="inlineStr">
        <is>
          <t>Spain</t>
        </is>
      </c>
      <c r="B242" t="inlineStr">
        <is>
          <t>EU</t>
        </is>
      </c>
      <c r="C242" s="7" t="n">
        <v>241</v>
      </c>
      <c r="D242" s="7" t="inlineStr">
        <is>
          <t>Mundi Ventures</t>
        </is>
      </c>
      <c r="E242" s="7" t="inlineStr">
        <is>
          <t>DEEPTECH</t>
        </is>
      </c>
      <c r="F242" s="9" t="inlineStr">
        <is>
          <t>MAYBE</t>
        </is>
      </c>
      <c r="G242" s="7">
        <f>HYPERLINK("http://www.mundiventures.com", "www.mundiventures.com")</f>
        <v/>
      </c>
      <c r="H242" s="7" t="inlineStr">
        <is>
          <t>AUM: $1500.0B | Portfolio: 62 companies</t>
        </is>
      </c>
      <c r="I242" s="7" t="inlineStr">
        <is>
          <t>PitchBook</t>
        </is>
      </c>
    </row>
    <row r="243">
      <c r="A243" s="7" t="inlineStr">
        <is>
          <t>United Kingdom</t>
        </is>
      </c>
      <c r="B243" t="inlineStr">
        <is>
          <t>EU</t>
        </is>
      </c>
      <c r="C243" s="7" t="n">
        <v>242</v>
      </c>
      <c r="D243" s="7" t="inlineStr">
        <is>
          <t>Northzone Ventures</t>
        </is>
      </c>
      <c r="E243" s="7" t="inlineStr">
        <is>
          <t>DEEPTECH</t>
        </is>
      </c>
      <c r="F243" s="9" t="inlineStr">
        <is>
          <t>MAYBE</t>
        </is>
      </c>
      <c r="G243" s="7">
        <f>HYPERLINK("http://www.northzone.com", "www.northzone.com")</f>
        <v/>
      </c>
      <c r="H243" s="7" t="inlineStr">
        <is>
          <t>AUM: $1449.5B | Portfolio: 108 companies</t>
        </is>
      </c>
      <c r="I243" s="7" t="inlineStr">
        <is>
          <t>PitchBook</t>
        </is>
      </c>
    </row>
    <row r="244">
      <c r="A244" s="7" t="inlineStr">
        <is>
          <t>Israel</t>
        </is>
      </c>
      <c r="B244" t="inlineStr">
        <is>
          <t>Other</t>
        </is>
      </c>
      <c r="C244" s="7" t="n">
        <v>243</v>
      </c>
      <c r="D244" s="7" t="inlineStr">
        <is>
          <t>Vertex Ventures Israel</t>
        </is>
      </c>
      <c r="E244" s="7" t="inlineStr">
        <is>
          <t>DEEPTECH</t>
        </is>
      </c>
      <c r="F244" s="9" t="inlineStr">
        <is>
          <t>MAYBE</t>
        </is>
      </c>
      <c r="G244" s="7">
        <f>HYPERLINK("http://vertexventures.co.il", "vertexventures.co.il")</f>
        <v/>
      </c>
      <c r="H244" s="7" t="inlineStr">
        <is>
          <t>AUM: $1364.2B | Portfolio: 60 companies</t>
        </is>
      </c>
      <c r="I244" s="7" t="inlineStr">
        <is>
          <t>PitchBook</t>
        </is>
      </c>
    </row>
    <row r="245">
      <c r="A245" s="7" t="inlineStr">
        <is>
          <t>CA</t>
        </is>
      </c>
      <c r="B245" t="inlineStr">
        <is>
          <t>US</t>
        </is>
      </c>
      <c r="C245" s="7" t="n">
        <v>244</v>
      </c>
      <c r="D245" s="7" t="inlineStr">
        <is>
          <t>CAVU Consumer Partners</t>
        </is>
      </c>
      <c r="E245" s="7" t="inlineStr">
        <is>
          <t>DEEPTECH</t>
        </is>
      </c>
      <c r="F245" s="9" t="inlineStr">
        <is>
          <t>MAYBE</t>
        </is>
      </c>
      <c r="G245" s="7">
        <f>HYPERLINK("http://www.cavuconsumer.com", "www.cavuconsumer.com")</f>
        <v/>
      </c>
      <c r="H245" s="7" t="inlineStr">
        <is>
          <t>AUM: $1300.3B | Portfolio: 19 companies</t>
        </is>
      </c>
      <c r="I245" s="7" t="inlineStr">
        <is>
          <t>PitchBook</t>
        </is>
      </c>
    </row>
    <row r="246">
      <c r="A246" s="7" t="inlineStr">
        <is>
          <t>Israel</t>
        </is>
      </c>
      <c r="B246" t="inlineStr">
        <is>
          <t>Other</t>
        </is>
      </c>
      <c r="C246" s="7" t="n">
        <v>245</v>
      </c>
      <c r="D246" s="7" t="inlineStr">
        <is>
          <t>aMoon Fund</t>
        </is>
      </c>
      <c r="E246" s="7" t="inlineStr">
        <is>
          <t>DEEPTECH</t>
        </is>
      </c>
      <c r="F246" s="9" t="inlineStr">
        <is>
          <t>MAYBE</t>
        </is>
      </c>
      <c r="G246" s="7">
        <f>HYPERLINK("http://www.amoon.fund", "www.amoon.fund")</f>
        <v/>
      </c>
      <c r="H246" s="7" t="inlineStr">
        <is>
          <t>AUM: $1108.5B | Portfolio: 42 companies</t>
        </is>
      </c>
      <c r="I246" s="7" t="inlineStr">
        <is>
          <t>PitchBook</t>
        </is>
      </c>
    </row>
    <row r="247">
      <c r="A247" s="7" t="inlineStr">
        <is>
          <t>CA</t>
        </is>
      </c>
      <c r="B247" t="inlineStr">
        <is>
          <t>US</t>
        </is>
      </c>
      <c r="C247" s="7" t="n">
        <v>246</v>
      </c>
      <c r="D247" s="7" t="inlineStr">
        <is>
          <t>Vertex Ventures US</t>
        </is>
      </c>
      <c r="E247" s="7" t="inlineStr">
        <is>
          <t>DEEPTECH</t>
        </is>
      </c>
      <c r="F247" s="9" t="inlineStr">
        <is>
          <t>MAYBE</t>
        </is>
      </c>
      <c r="G247" s="7">
        <f>HYPERLINK("http://vvus.com", "vvus.com")</f>
        <v/>
      </c>
      <c r="H247" s="7" t="inlineStr">
        <is>
          <t>AUM: $1108.5B | Portfolio: 40 companies</t>
        </is>
      </c>
      <c r="I247" s="7" t="inlineStr">
        <is>
          <t>PitchBook</t>
        </is>
      </c>
    </row>
    <row r="248">
      <c r="A248" s="7" t="inlineStr">
        <is>
          <t>CA</t>
        </is>
      </c>
      <c r="B248" t="inlineStr">
        <is>
          <t>US</t>
        </is>
      </c>
      <c r="C248" s="7" t="n">
        <v>247</v>
      </c>
      <c r="D248" s="7" t="inlineStr">
        <is>
          <t>Uncork Capital</t>
        </is>
      </c>
      <c r="E248" s="7" t="inlineStr">
        <is>
          <t>DEEPTECH</t>
        </is>
      </c>
      <c r="F248" s="9" t="inlineStr">
        <is>
          <t>MAYBE</t>
        </is>
      </c>
      <c r="G248" s="7">
        <f>HYPERLINK("http://www.uncorkcapital.com", "www.uncorkcapital.com")</f>
        <v/>
      </c>
      <c r="H248" s="7" t="inlineStr">
        <is>
          <t>AUM: $1023.2B | Portfolio: 98 companies</t>
        </is>
      </c>
      <c r="I248" s="7" t="inlineStr">
        <is>
          <t>PitchBook</t>
        </is>
      </c>
    </row>
    <row r="249">
      <c r="A249" s="7" t="inlineStr">
        <is>
          <t>CA</t>
        </is>
      </c>
      <c r="B249" t="inlineStr">
        <is>
          <t>US</t>
        </is>
      </c>
      <c r="C249" s="7" t="n">
        <v>248</v>
      </c>
      <c r="D249" s="7" t="inlineStr">
        <is>
          <t>DCVC Bio</t>
        </is>
      </c>
      <c r="E249" s="7" t="inlineStr">
        <is>
          <t>DEEPTECH</t>
        </is>
      </c>
      <c r="F249" s="9" t="inlineStr">
        <is>
          <t>MAYBE</t>
        </is>
      </c>
      <c r="G249" s="7" t="inlineStr"/>
      <c r="H249" s="7" t="inlineStr">
        <is>
          <t>AUM: $989.1B | Portfolio: 31 companies</t>
        </is>
      </c>
      <c r="I249" s="7" t="inlineStr">
        <is>
          <t>PitchBook</t>
        </is>
      </c>
    </row>
    <row r="250">
      <c r="A250" s="7" t="inlineStr">
        <is>
          <t>GA</t>
        </is>
      </c>
      <c r="B250" t="inlineStr">
        <is>
          <t>US</t>
        </is>
      </c>
      <c r="C250" s="7" t="n">
        <v>249</v>
      </c>
      <c r="D250" s="7" t="inlineStr">
        <is>
          <t>Fulcrum Equity Partners</t>
        </is>
      </c>
      <c r="E250" s="7" t="inlineStr">
        <is>
          <t>DEEPTECH</t>
        </is>
      </c>
      <c r="F250" s="9" t="inlineStr">
        <is>
          <t>MAYBE</t>
        </is>
      </c>
      <c r="G250" s="7">
        <f>HYPERLINK("http://www.fulcrumep.com", "www.fulcrumep.com")</f>
        <v/>
      </c>
      <c r="H250" s="7" t="inlineStr">
        <is>
          <t>AUM: $988.5B | Portfolio: 30 companies</t>
        </is>
      </c>
      <c r="I250" s="7" t="inlineStr">
        <is>
          <t>PitchBook</t>
        </is>
      </c>
    </row>
    <row r="251">
      <c r="A251" s="7" t="inlineStr">
        <is>
          <t>France</t>
        </is>
      </c>
      <c r="B251" t="inlineStr">
        <is>
          <t>EU</t>
        </is>
      </c>
      <c r="C251" s="7" t="n">
        <v>250</v>
      </c>
      <c r="D251" s="7" t="inlineStr">
        <is>
          <t>Elaia Partners</t>
        </is>
      </c>
      <c r="E251" s="7" t="inlineStr">
        <is>
          <t>DEEPTECH</t>
        </is>
      </c>
      <c r="F251" s="9" t="inlineStr">
        <is>
          <t>MAYBE</t>
        </is>
      </c>
      <c r="G251" s="7">
        <f>HYPERLINK("http://www.elaia.com", "www.elaia.com")</f>
        <v/>
      </c>
      <c r="H251" s="7" t="inlineStr">
        <is>
          <t>AUM: $944.0B | Portfolio: 101 companies</t>
        </is>
      </c>
      <c r="I251" s="7" t="inlineStr">
        <is>
          <t>PitchBook</t>
        </is>
      </c>
    </row>
    <row r="252">
      <c r="A252" s="7" t="inlineStr">
        <is>
          <t>TX</t>
        </is>
      </c>
      <c r="B252" t="inlineStr">
        <is>
          <t>US</t>
        </is>
      </c>
      <c r="C252" s="7" t="n">
        <v>251</v>
      </c>
      <c r="D252" s="7" t="inlineStr">
        <is>
          <t>Learn Capital</t>
        </is>
      </c>
      <c r="E252" s="7" t="inlineStr">
        <is>
          <t>DEEPTECH</t>
        </is>
      </c>
      <c r="F252" s="9" t="inlineStr">
        <is>
          <t>MAYBE</t>
        </is>
      </c>
      <c r="G252" s="7">
        <f>HYPERLINK("http://www.learn.vc", "www.learn.vc")</f>
        <v/>
      </c>
      <c r="H252" s="7" t="inlineStr">
        <is>
          <t>AUM: $937.9B | Portfolio: 61 companies</t>
        </is>
      </c>
      <c r="I252" s="7" t="inlineStr">
        <is>
          <t>PitchBook</t>
        </is>
      </c>
    </row>
    <row r="253">
      <c r="A253" s="7" t="inlineStr">
        <is>
          <t>GA</t>
        </is>
      </c>
      <c r="B253" t="inlineStr">
        <is>
          <t>US</t>
        </is>
      </c>
      <c r="C253" s="7" t="n">
        <v>252</v>
      </c>
      <c r="D253" s="7" t="inlineStr">
        <is>
          <t>BIP Ventures</t>
        </is>
      </c>
      <c r="E253" s="7" t="inlineStr">
        <is>
          <t>DEEPTECH</t>
        </is>
      </c>
      <c r="F253" s="9" t="inlineStr">
        <is>
          <t>MAYBE</t>
        </is>
      </c>
      <c r="G253" s="7">
        <f>HYPERLINK("http://www.bipventures.vc", "www.bipventures.vc")</f>
        <v/>
      </c>
      <c r="H253" s="7" t="inlineStr">
        <is>
          <t>AUM: $862.2B | Portfolio: 72 companies</t>
        </is>
      </c>
      <c r="I253" s="7" t="inlineStr">
        <is>
          <t>PitchBook</t>
        </is>
      </c>
    </row>
    <row r="254">
      <c r="A254" s="7" t="inlineStr">
        <is>
          <t>United Kingdom</t>
        </is>
      </c>
      <c r="B254" t="inlineStr">
        <is>
          <t>EU</t>
        </is>
      </c>
      <c r="C254" s="7" t="n">
        <v>253</v>
      </c>
      <c r="D254" s="7" t="inlineStr">
        <is>
          <t>DN Capital</t>
        </is>
      </c>
      <c r="E254" s="7" t="inlineStr">
        <is>
          <t>DEEPTECH</t>
        </is>
      </c>
      <c r="F254" s="9" t="inlineStr">
        <is>
          <t>MAYBE</t>
        </is>
      </c>
      <c r="G254" s="7">
        <f>HYPERLINK("http://www.dncapital.com", "www.dncapital.com")</f>
        <v/>
      </c>
      <c r="H254" s="7" t="inlineStr">
        <is>
          <t>AUM: $852.7B | Portfolio: 65 companies</t>
        </is>
      </c>
      <c r="I254" s="7" t="inlineStr">
        <is>
          <t>PitchBook</t>
        </is>
      </c>
    </row>
    <row r="255">
      <c r="A255" s="7" t="inlineStr">
        <is>
          <t>NY</t>
        </is>
      </c>
      <c r="B255" t="inlineStr">
        <is>
          <t>US</t>
        </is>
      </c>
      <c r="C255" s="7" t="n">
        <v>254</v>
      </c>
      <c r="D255" s="7" t="inlineStr">
        <is>
          <t>Imaginary Ventures</t>
        </is>
      </c>
      <c r="E255" s="7" t="inlineStr">
        <is>
          <t>DEEPTECH</t>
        </is>
      </c>
      <c r="F255" s="9" t="inlineStr">
        <is>
          <t>MAYBE</t>
        </is>
      </c>
      <c r="G255" s="7">
        <f>HYPERLINK("http://www.imaginary.co", "www.imaginary.co")</f>
        <v/>
      </c>
      <c r="H255" s="7" t="inlineStr">
        <is>
          <t>AUM: $852.7B | Portfolio: 55 companies</t>
        </is>
      </c>
      <c r="I255" s="7" t="inlineStr">
        <is>
          <t>PitchBook</t>
        </is>
      </c>
    </row>
    <row r="256">
      <c r="A256" s="7" t="inlineStr">
        <is>
          <t>CA</t>
        </is>
      </c>
      <c r="B256" t="inlineStr">
        <is>
          <t>US</t>
        </is>
      </c>
      <c r="C256" s="7" t="n">
        <v>255</v>
      </c>
      <c r="D256" s="7" t="inlineStr">
        <is>
          <t>M13</t>
        </is>
      </c>
      <c r="E256" s="7" t="inlineStr">
        <is>
          <t>DEEPTECH</t>
        </is>
      </c>
      <c r="F256" s="9" t="inlineStr">
        <is>
          <t>MAYBE</t>
        </is>
      </c>
      <c r="G256" s="7">
        <f>HYPERLINK("http://www.m13.co", "www.m13.co")</f>
        <v/>
      </c>
      <c r="H256" s="7" t="inlineStr">
        <is>
          <t>AUM: $852.7B | Portfolio: 140 companies</t>
        </is>
      </c>
      <c r="I256" s="7" t="inlineStr">
        <is>
          <t>PitchBook</t>
        </is>
      </c>
    </row>
    <row r="257">
      <c r="A257" s="7" t="inlineStr">
        <is>
          <t>CA</t>
        </is>
      </c>
      <c r="B257" t="inlineStr">
        <is>
          <t>US</t>
        </is>
      </c>
      <c r="C257" s="7" t="n">
        <v>256</v>
      </c>
      <c r="D257" s="7" t="inlineStr">
        <is>
          <t>Rising Tide Fund</t>
        </is>
      </c>
      <c r="E257" s="7" t="inlineStr">
        <is>
          <t>DEEPTECH</t>
        </is>
      </c>
      <c r="F257" s="9" t="inlineStr">
        <is>
          <t>MAYBE</t>
        </is>
      </c>
      <c r="G257" s="7">
        <f>HYPERLINK("http://www.rtf.vc", "www.rtf.vc")</f>
        <v/>
      </c>
      <c r="H257" s="7" t="inlineStr">
        <is>
          <t>AUM: $852.7B | Portfolio: 40 companies</t>
        </is>
      </c>
      <c r="I257" s="7" t="inlineStr">
        <is>
          <t>PitchBook</t>
        </is>
      </c>
    </row>
    <row r="258">
      <c r="A258" s="7" t="inlineStr">
        <is>
          <t>CA</t>
        </is>
      </c>
      <c r="B258" t="inlineStr">
        <is>
          <t>US</t>
        </is>
      </c>
      <c r="C258" s="7" t="n">
        <v>257</v>
      </c>
      <c r="D258" s="7" t="inlineStr">
        <is>
          <t>Factorial Funds</t>
        </is>
      </c>
      <c r="E258" s="7" t="inlineStr">
        <is>
          <t>DEEPTECH</t>
        </is>
      </c>
      <c r="F258" s="9" t="inlineStr">
        <is>
          <t>MAYBE</t>
        </is>
      </c>
      <c r="G258" s="7">
        <f>HYPERLINK("http://www.factorialfunds.com", "www.factorialfunds.com")</f>
        <v/>
      </c>
      <c r="H258" s="7" t="inlineStr">
        <is>
          <t>AUM: $824.5B | Portfolio: 24 companies</t>
        </is>
      </c>
      <c r="I258" s="7" t="inlineStr">
        <is>
          <t>PitchBook</t>
        </is>
      </c>
    </row>
    <row r="259">
      <c r="A259" s="7" t="inlineStr">
        <is>
          <t>United Kingdom</t>
        </is>
      </c>
      <c r="B259" t="inlineStr">
        <is>
          <t>EU</t>
        </is>
      </c>
      <c r="C259" s="7" t="n">
        <v>258</v>
      </c>
      <c r="D259" s="7" t="inlineStr">
        <is>
          <t>Amadeus Capital Partners</t>
        </is>
      </c>
      <c r="E259" s="7" t="inlineStr">
        <is>
          <t>DEEPTECH</t>
        </is>
      </c>
      <c r="F259" s="9" t="inlineStr">
        <is>
          <t>MAYBE</t>
        </is>
      </c>
      <c r="G259" s="7">
        <f>HYPERLINK("http://www.amadeuscapital.com", "www.amadeuscapital.com")</f>
        <v/>
      </c>
      <c r="H259" s="7" t="inlineStr">
        <is>
          <t>AUM: $806.5B | Portfolio: 76 companies</t>
        </is>
      </c>
      <c r="I259" s="7" t="inlineStr">
        <is>
          <t>PitchBook</t>
        </is>
      </c>
    </row>
    <row r="260">
      <c r="A260" s="7" t="inlineStr">
        <is>
          <t>Spain</t>
        </is>
      </c>
      <c r="B260" t="inlineStr">
        <is>
          <t>EU</t>
        </is>
      </c>
      <c r="C260" s="7" t="n">
        <v>259</v>
      </c>
      <c r="D260" s="7" t="inlineStr">
        <is>
          <t>Axon Partners Group (MAD: APG)</t>
        </is>
      </c>
      <c r="E260" s="7" t="inlineStr">
        <is>
          <t>DEEPTECH</t>
        </is>
      </c>
      <c r="F260" s="9" t="inlineStr">
        <is>
          <t>MAYBE</t>
        </is>
      </c>
      <c r="G260" s="7">
        <f>HYPERLINK("http://www.axonpartnersgroup.com", "www.axonpartnersgroup.com")</f>
        <v/>
      </c>
      <c r="H260" s="7" t="inlineStr">
        <is>
          <t>AUM: $721.0B | Portfolio: 75 companies</t>
        </is>
      </c>
      <c r="I260" s="7" t="inlineStr">
        <is>
          <t>PitchBook</t>
        </is>
      </c>
    </row>
    <row r="261">
      <c r="A261" s="7" t="inlineStr">
        <is>
          <t>France</t>
        </is>
      </c>
      <c r="B261" t="inlineStr">
        <is>
          <t>EU</t>
        </is>
      </c>
      <c r="C261" s="7" t="n">
        <v>260</v>
      </c>
      <c r="D261" s="7" t="inlineStr">
        <is>
          <t>Breega</t>
        </is>
      </c>
      <c r="E261" s="7" t="inlineStr">
        <is>
          <t>DEEPTECH</t>
        </is>
      </c>
      <c r="F261" s="9" t="inlineStr">
        <is>
          <t>MAYBE</t>
        </is>
      </c>
      <c r="G261" s="7">
        <f>HYPERLINK("http://www.breega.com", "www.breega.com")</f>
        <v/>
      </c>
      <c r="H261" s="7" t="inlineStr">
        <is>
          <t>AUM: $700.0B | Portfolio: 81 companies</t>
        </is>
      </c>
      <c r="I261" s="7" t="inlineStr">
        <is>
          <t>PitchBook</t>
        </is>
      </c>
    </row>
    <row r="262">
      <c r="A262" s="7" t="inlineStr">
        <is>
          <t>United Kingdom</t>
        </is>
      </c>
      <c r="B262" t="inlineStr">
        <is>
          <t>EU</t>
        </is>
      </c>
      <c r="C262" s="7" t="n">
        <v>261</v>
      </c>
      <c r="D262" s="7" t="inlineStr">
        <is>
          <t>Cambridge Innovation Capital</t>
        </is>
      </c>
      <c r="E262" s="7" t="inlineStr">
        <is>
          <t>DEEPTECH</t>
        </is>
      </c>
      <c r="F262" s="9" t="inlineStr">
        <is>
          <t>MAYBE</t>
        </is>
      </c>
      <c r="G262" s="7">
        <f>HYPERLINK("http://www.cic.vc", "www.cic.vc")</f>
        <v/>
      </c>
      <c r="H262" s="7" t="inlineStr">
        <is>
          <t>AUM: $691.3B | Portfolio: 30 companies</t>
        </is>
      </c>
      <c r="I262" s="7" t="inlineStr">
        <is>
          <t>PitchBook</t>
        </is>
      </c>
    </row>
    <row r="263">
      <c r="A263" s="7" t="inlineStr">
        <is>
          <t>CA</t>
        </is>
      </c>
      <c r="B263" t="inlineStr">
        <is>
          <t>US</t>
        </is>
      </c>
      <c r="C263" s="7" t="n">
        <v>262</v>
      </c>
      <c r="D263" s="7" t="inlineStr">
        <is>
          <t>Slow Ventures</t>
        </is>
      </c>
      <c r="E263" s="7" t="inlineStr">
        <is>
          <t>DEEPTECH</t>
        </is>
      </c>
      <c r="F263" s="9" t="inlineStr">
        <is>
          <t>MAYBE</t>
        </is>
      </c>
      <c r="G263" s="7">
        <f>HYPERLINK("http://www.slow.co", "www.slow.co")</f>
        <v/>
      </c>
      <c r="H263" s="7" t="inlineStr">
        <is>
          <t>AUM: $682.1B | Portfolio: 227 companies</t>
        </is>
      </c>
      <c r="I263" s="7" t="inlineStr">
        <is>
          <t>PitchBook</t>
        </is>
      </c>
    </row>
    <row r="264">
      <c r="A264" s="7" t="inlineStr">
        <is>
          <t>Portugal</t>
        </is>
      </c>
      <c r="B264" t="inlineStr">
        <is>
          <t>EU</t>
        </is>
      </c>
      <c r="C264" s="7" t="n">
        <v>263</v>
      </c>
      <c r="D264" s="7" t="inlineStr">
        <is>
          <t>Armilar Venture Partners</t>
        </is>
      </c>
      <c r="E264" s="7" t="inlineStr">
        <is>
          <t>DEEPTECH</t>
        </is>
      </c>
      <c r="F264" s="9" t="inlineStr">
        <is>
          <t>MAYBE</t>
        </is>
      </c>
      <c r="G264" s="7">
        <f>HYPERLINK("http://www.armilar.com", "www.armilar.com")</f>
        <v/>
      </c>
      <c r="H264" s="7" t="inlineStr">
        <is>
          <t>AUM: $600.0B | Portfolio: 38 companies</t>
        </is>
      </c>
      <c r="I264" s="7" t="inlineStr">
        <is>
          <t>PitchBook</t>
        </is>
      </c>
    </row>
    <row r="265">
      <c r="A265" s="7" t="inlineStr">
        <is>
          <t>Israel</t>
        </is>
      </c>
      <c r="B265" t="inlineStr">
        <is>
          <t>Other</t>
        </is>
      </c>
      <c r="C265" s="7" t="n">
        <v>264</v>
      </c>
      <c r="D265" s="7" t="inlineStr">
        <is>
          <t>Giza Venture Capital</t>
        </is>
      </c>
      <c r="E265" s="7" t="inlineStr">
        <is>
          <t>DEEPTECH</t>
        </is>
      </c>
      <c r="F265" s="9" t="inlineStr">
        <is>
          <t>MAYBE</t>
        </is>
      </c>
      <c r="G265" s="7">
        <f>HYPERLINK("http://www.gizavc.com", "www.gizavc.com")</f>
        <v/>
      </c>
      <c r="H265" s="7" t="inlineStr">
        <is>
          <t>AUM: $596.9B | Portfolio: 6 companies</t>
        </is>
      </c>
      <c r="I265" s="7" t="inlineStr">
        <is>
          <t>PitchBook</t>
        </is>
      </c>
    </row>
    <row r="266">
      <c r="A266" s="7" t="inlineStr">
        <is>
          <t>VA</t>
        </is>
      </c>
      <c r="B266" t="inlineStr">
        <is>
          <t>US</t>
        </is>
      </c>
      <c r="C266" s="7" t="n">
        <v>265</v>
      </c>
      <c r="D266" s="7" t="inlineStr">
        <is>
          <t>PROOF</t>
        </is>
      </c>
      <c r="E266" s="7" t="inlineStr">
        <is>
          <t>DEEPTECH</t>
        </is>
      </c>
      <c r="F266" s="9" t="inlineStr">
        <is>
          <t>MAYBE</t>
        </is>
      </c>
      <c r="G266" s="7">
        <f>HYPERLINK("http://www.proof.vc", "www.proof.vc")</f>
        <v/>
      </c>
      <c r="H266" s="7" t="inlineStr">
        <is>
          <t>AUM: $588.3B | Portfolio: 72 companies</t>
        </is>
      </c>
      <c r="I266" s="7" t="inlineStr">
        <is>
          <t>PitchBook</t>
        </is>
      </c>
    </row>
    <row r="267">
      <c r="A267" s="7" t="inlineStr">
        <is>
          <t>Australia</t>
        </is>
      </c>
      <c r="B267" t="inlineStr">
        <is>
          <t>Other</t>
        </is>
      </c>
      <c r="C267" s="7" t="n">
        <v>266</v>
      </c>
      <c r="D267" s="7" t="inlineStr">
        <is>
          <t>Brandon Capital</t>
        </is>
      </c>
      <c r="E267" s="7" t="inlineStr">
        <is>
          <t>DEEPTECH</t>
        </is>
      </c>
      <c r="F267" s="9" t="inlineStr">
        <is>
          <t>MAYBE</t>
        </is>
      </c>
      <c r="G267" s="7">
        <f>HYPERLINK("http://brandoncapital.vc", "brandoncapital.vc")</f>
        <v/>
      </c>
      <c r="H267" s="7" t="inlineStr">
        <is>
          <t>AUM: $558.6B | Portfolio: 42 companies</t>
        </is>
      </c>
      <c r="I267" s="7" t="inlineStr">
        <is>
          <t>PitchBook</t>
        </is>
      </c>
    </row>
    <row r="268">
      <c r="A268" s="7" t="inlineStr">
        <is>
          <t>Israel</t>
        </is>
      </c>
      <c r="B268" t="inlineStr">
        <is>
          <t>Other</t>
        </is>
      </c>
      <c r="C268" s="7" t="n">
        <v>267</v>
      </c>
      <c r="D268" s="7" t="inlineStr">
        <is>
          <t>StageOne Ventures</t>
        </is>
      </c>
      <c r="E268" s="7" t="inlineStr">
        <is>
          <t>DEEPTECH</t>
        </is>
      </c>
      <c r="F268" s="9" t="inlineStr">
        <is>
          <t>MAYBE</t>
        </is>
      </c>
      <c r="G268" s="7">
        <f>HYPERLINK("http://www.stageonevc.com", "www.stageonevc.com")</f>
        <v/>
      </c>
      <c r="H268" s="7" t="inlineStr">
        <is>
          <t>AUM: $554.2B | Portfolio: 32 companies</t>
        </is>
      </c>
      <c r="I268" s="7" t="inlineStr">
        <is>
          <t>PitchBook</t>
        </is>
      </c>
    </row>
    <row r="269">
      <c r="A269" s="7" t="inlineStr">
        <is>
          <t>VA</t>
        </is>
      </c>
      <c r="B269" t="inlineStr">
        <is>
          <t>US</t>
        </is>
      </c>
      <c r="C269" s="7" t="n">
        <v>268</v>
      </c>
      <c r="D269" s="7" t="inlineStr">
        <is>
          <t>Razor's Edge Ventures</t>
        </is>
      </c>
      <c r="E269" s="7" t="inlineStr">
        <is>
          <t>DEEPTECH</t>
        </is>
      </c>
      <c r="F269" s="9" t="inlineStr">
        <is>
          <t>MAYBE</t>
        </is>
      </c>
      <c r="G269" s="7">
        <f>HYPERLINK("http://www.razorsvc.com", "www.razorsvc.com")</f>
        <v/>
      </c>
      <c r="H269" s="7" t="inlineStr">
        <is>
          <t>AUM: $532.9B | Portfolio: 17 companies</t>
        </is>
      </c>
      <c r="I269" s="7" t="inlineStr">
        <is>
          <t>PitchBook</t>
        </is>
      </c>
    </row>
    <row r="270">
      <c r="A270" s="7" t="inlineStr">
        <is>
          <t>CA</t>
        </is>
      </c>
      <c r="B270" t="inlineStr">
        <is>
          <t>US</t>
        </is>
      </c>
      <c r="C270" s="7" t="n">
        <v>269</v>
      </c>
      <c r="D270" s="7" t="inlineStr">
        <is>
          <t>Autotech Ventures</t>
        </is>
      </c>
      <c r="E270" s="7" t="inlineStr">
        <is>
          <t>DEEPTECH</t>
        </is>
      </c>
      <c r="F270" s="9" t="inlineStr">
        <is>
          <t>MAYBE</t>
        </is>
      </c>
      <c r="G270" s="7">
        <f>HYPERLINK("http://www.autotechvc.com", "www.autotechvc.com")</f>
        <v/>
      </c>
      <c r="H270" s="7" t="inlineStr">
        <is>
          <t>AUM: $511.6B | Portfolio: 42 companies</t>
        </is>
      </c>
      <c r="I270" s="7" t="inlineStr">
        <is>
          <t>PitchBook</t>
        </is>
      </c>
    </row>
    <row r="271">
      <c r="A271" s="7" t="inlineStr">
        <is>
          <t>Israel</t>
        </is>
      </c>
      <c r="B271" t="inlineStr">
        <is>
          <t>Other</t>
        </is>
      </c>
      <c r="C271" s="7" t="n">
        <v>270</v>
      </c>
      <c r="D271" s="7" t="inlineStr">
        <is>
          <t>Peregrine Ventures</t>
        </is>
      </c>
      <c r="E271" s="7" t="inlineStr">
        <is>
          <t>DEEPTECH</t>
        </is>
      </c>
      <c r="F271" s="9" t="inlineStr">
        <is>
          <t>MAYBE</t>
        </is>
      </c>
      <c r="G271" s="7">
        <f>HYPERLINK("http://www.peregrinevc.com", "www.peregrinevc.com")</f>
        <v/>
      </c>
      <c r="H271" s="7" t="inlineStr">
        <is>
          <t>AUM: $511.6B | Portfolio: 49 companies</t>
        </is>
      </c>
      <c r="I271" s="7" t="inlineStr">
        <is>
          <t>PitchBook</t>
        </is>
      </c>
    </row>
    <row r="272">
      <c r="A272" s="7" t="inlineStr">
        <is>
          <t>France</t>
        </is>
      </c>
      <c r="B272" t="inlineStr">
        <is>
          <t>EU</t>
        </is>
      </c>
      <c r="C272" s="7" t="n">
        <v>271</v>
      </c>
      <c r="D272" s="7" t="inlineStr">
        <is>
          <t>blisce/</t>
        </is>
      </c>
      <c r="E272" s="7" t="inlineStr">
        <is>
          <t>DEEPTECH</t>
        </is>
      </c>
      <c r="F272" s="9" t="inlineStr">
        <is>
          <t>MAYBE</t>
        </is>
      </c>
      <c r="G272" s="7">
        <f>HYPERLINK("http://www.blisce.com", "www.blisce.com")</f>
        <v/>
      </c>
      <c r="H272" s="7" t="inlineStr">
        <is>
          <t>AUM: $500.0B | Portfolio: 18 companies</t>
        </is>
      </c>
      <c r="I272" s="7" t="inlineStr">
        <is>
          <t>PitchBook</t>
        </is>
      </c>
    </row>
    <row r="273">
      <c r="A273" s="7" t="inlineStr">
        <is>
          <t>Spain</t>
        </is>
      </c>
      <c r="B273" t="inlineStr">
        <is>
          <t>EU</t>
        </is>
      </c>
      <c r="C273" s="7" t="n">
        <v>272</v>
      </c>
      <c r="D273" s="7" t="inlineStr">
        <is>
          <t>KFund</t>
        </is>
      </c>
      <c r="E273" s="7" t="inlineStr">
        <is>
          <t>DEEPTECH</t>
        </is>
      </c>
      <c r="F273" s="9" t="inlineStr">
        <is>
          <t>MAYBE</t>
        </is>
      </c>
      <c r="G273" s="7">
        <f>HYPERLINK("http://www.kfund.vc", "www.kfund.vc")</f>
        <v/>
      </c>
      <c r="H273" s="7" t="inlineStr">
        <is>
          <t>AUM: $500.0B | Portfolio: 94 companies</t>
        </is>
      </c>
      <c r="I273" s="7" t="inlineStr">
        <is>
          <t>PitchBook</t>
        </is>
      </c>
    </row>
    <row r="274">
      <c r="A274" s="7" t="inlineStr">
        <is>
          <t>France</t>
        </is>
      </c>
      <c r="B274" t="inlineStr">
        <is>
          <t>EU</t>
        </is>
      </c>
      <c r="C274" s="7" t="n">
        <v>273</v>
      </c>
      <c r="D274" s="7" t="inlineStr">
        <is>
          <t>Truffle Capital</t>
        </is>
      </c>
      <c r="E274" s="7" t="inlineStr">
        <is>
          <t>DEEPTECH</t>
        </is>
      </c>
      <c r="F274" s="9" t="inlineStr">
        <is>
          <t>MAYBE</t>
        </is>
      </c>
      <c r="G274" s="7">
        <f>HYPERLINK("http://www.truffle.com", "www.truffle.com")</f>
        <v/>
      </c>
      <c r="H274" s="7" t="inlineStr">
        <is>
          <t>AUM: $500.0B | Portfolio: 32 companies</t>
        </is>
      </c>
      <c r="I274" s="7" t="inlineStr">
        <is>
          <t>PitchBook</t>
        </is>
      </c>
    </row>
    <row r="275">
      <c r="A275" s="7" t="inlineStr">
        <is>
          <t>Germany</t>
        </is>
      </c>
      <c r="B275" t="inlineStr">
        <is>
          <t>EU</t>
        </is>
      </c>
      <c r="C275" s="7" t="n">
        <v>274</v>
      </c>
      <c r="D275" s="7" t="inlineStr">
        <is>
          <t>Acton Capital</t>
        </is>
      </c>
      <c r="E275" s="7" t="inlineStr">
        <is>
          <t>DEEPTECH</t>
        </is>
      </c>
      <c r="F275" s="9" t="inlineStr">
        <is>
          <t>MAYBE</t>
        </is>
      </c>
      <c r="G275" s="7">
        <f>HYPERLINK("http://www.actoncapital.com", "www.actoncapital.com")</f>
        <v/>
      </c>
      <c r="H275" s="7" t="inlineStr">
        <is>
          <t>AUM: $490.0B | Portfolio: 35 companies</t>
        </is>
      </c>
      <c r="I275" s="7" t="inlineStr">
        <is>
          <t>PitchBook</t>
        </is>
      </c>
    </row>
    <row r="276">
      <c r="A276" s="7" t="inlineStr">
        <is>
          <t>Ireland</t>
        </is>
      </c>
      <c r="B276" t="inlineStr">
        <is>
          <t>EU</t>
        </is>
      </c>
      <c r="C276" s="7" t="n">
        <v>275</v>
      </c>
      <c r="D276" s="7" t="inlineStr">
        <is>
          <t>Frontline Ventures</t>
        </is>
      </c>
      <c r="E276" s="7" t="inlineStr">
        <is>
          <t>DEEPTECH</t>
        </is>
      </c>
      <c r="F276" s="9" t="inlineStr">
        <is>
          <t>MAYBE</t>
        </is>
      </c>
      <c r="G276" s="7">
        <f>HYPERLINK("http://www.frontline.vc", "www.frontline.vc")</f>
        <v/>
      </c>
      <c r="H276" s="7" t="inlineStr">
        <is>
          <t>AUM: $480.0B | Portfolio: 89 companies</t>
        </is>
      </c>
      <c r="I276" s="7" t="inlineStr">
        <is>
          <t>PitchBook</t>
        </is>
      </c>
    </row>
    <row r="277">
      <c r="A277" s="7" t="inlineStr">
        <is>
          <t>CA</t>
        </is>
      </c>
      <c r="B277" t="inlineStr">
        <is>
          <t>US</t>
        </is>
      </c>
      <c r="C277" s="7" t="n">
        <v>276</v>
      </c>
      <c r="D277" s="7" t="inlineStr">
        <is>
          <t>Illumina Ventures</t>
        </is>
      </c>
      <c r="E277" s="7" t="inlineStr">
        <is>
          <t>DEEPTECH</t>
        </is>
      </c>
      <c r="F277" s="9" t="inlineStr">
        <is>
          <t>MAYBE</t>
        </is>
      </c>
      <c r="G277" s="7">
        <f>HYPERLINK("http://www.illuminaventures.com", "www.illuminaventures.com")</f>
        <v/>
      </c>
      <c r="H277" s="7" t="inlineStr">
        <is>
          <t>AUM: $477.5B | Portfolio: 41 companies</t>
        </is>
      </c>
      <c r="I277" s="7" t="inlineStr">
        <is>
          <t>PitchBook</t>
        </is>
      </c>
    </row>
    <row r="278">
      <c r="A278" s="7" t="inlineStr">
        <is>
          <t>CA</t>
        </is>
      </c>
      <c r="B278" t="inlineStr">
        <is>
          <t>US</t>
        </is>
      </c>
      <c r="C278" s="7" t="n">
        <v>277</v>
      </c>
      <c r="D278" s="7" t="inlineStr">
        <is>
          <t>Walden Catalyst</t>
        </is>
      </c>
      <c r="E278" s="7" t="inlineStr">
        <is>
          <t>DEEPTECH</t>
        </is>
      </c>
      <c r="F278" s="9" t="inlineStr">
        <is>
          <t>MAYBE</t>
        </is>
      </c>
      <c r="G278" s="7">
        <f>HYPERLINK("http://waldencatalyst.com", "waldencatalyst.com")</f>
        <v/>
      </c>
      <c r="H278" s="7" t="inlineStr">
        <is>
          <t>AUM: $469.0B | Portfolio: 24 companies</t>
        </is>
      </c>
      <c r="I278" s="7" t="inlineStr">
        <is>
          <t>PitchBook</t>
        </is>
      </c>
    </row>
    <row r="279">
      <c r="A279" s="7" t="inlineStr">
        <is>
          <t>CA</t>
        </is>
      </c>
      <c r="B279" t="inlineStr">
        <is>
          <t>US</t>
        </is>
      </c>
      <c r="C279" s="7" t="n">
        <v>278</v>
      </c>
      <c r="D279" s="7" t="inlineStr">
        <is>
          <t>ARTIS (San Francisco)</t>
        </is>
      </c>
      <c r="E279" s="7" t="inlineStr">
        <is>
          <t>DEEPTECH</t>
        </is>
      </c>
      <c r="F279" s="9" t="inlineStr">
        <is>
          <t>MAYBE</t>
        </is>
      </c>
      <c r="G279" s="7">
        <f>HYPERLINK("http://www.av.co", "www.av.co")</f>
        <v/>
      </c>
      <c r="H279" s="7" t="inlineStr">
        <is>
          <t>AUM: $427.1B | Portfolio: 60 companies</t>
        </is>
      </c>
      <c r="I279" s="7" t="inlineStr">
        <is>
          <t>PitchBook</t>
        </is>
      </c>
    </row>
    <row r="280">
      <c r="A280" s="7" t="inlineStr">
        <is>
          <t>NY</t>
        </is>
      </c>
      <c r="B280" t="inlineStr">
        <is>
          <t>US</t>
        </is>
      </c>
      <c r="C280" s="7" t="n">
        <v>279</v>
      </c>
      <c r="D280" s="7" t="inlineStr">
        <is>
          <t>Atlas Fund</t>
        </is>
      </c>
      <c r="E280" s="7" t="inlineStr">
        <is>
          <t>DEEPTECH</t>
        </is>
      </c>
      <c r="F280" s="9" t="inlineStr">
        <is>
          <t>MAYBE</t>
        </is>
      </c>
      <c r="G280" s="7">
        <f>HYPERLINK("http://www.atlasfunds.com", "www.atlasfunds.com")</f>
        <v/>
      </c>
      <c r="H280" s="7" t="inlineStr">
        <is>
          <t>AUM: $426.3B | Portfolio: 10 companies</t>
        </is>
      </c>
      <c r="I280" s="7" t="inlineStr">
        <is>
          <t>PitchBook</t>
        </is>
      </c>
    </row>
    <row r="281">
      <c r="A281" s="7" t="inlineStr">
        <is>
          <t>CA</t>
        </is>
      </c>
      <c r="B281" t="inlineStr">
        <is>
          <t>US</t>
        </is>
      </c>
      <c r="C281" s="7" t="n">
        <v>280</v>
      </c>
      <c r="D281" s="7" t="inlineStr">
        <is>
          <t>Basis Set Ventures</t>
        </is>
      </c>
      <c r="E281" s="7" t="inlineStr">
        <is>
          <t>DEEPTECH</t>
        </is>
      </c>
      <c r="F281" s="9" t="inlineStr">
        <is>
          <t>MAYBE</t>
        </is>
      </c>
      <c r="G281" s="7">
        <f>HYPERLINK("http://www.basisset.com", "www.basisset.com")</f>
        <v/>
      </c>
      <c r="H281" s="7" t="inlineStr">
        <is>
          <t>AUM: $426.3B | Portfolio: 90 companies</t>
        </is>
      </c>
      <c r="I281" s="7" t="inlineStr">
        <is>
          <t>PitchBook</t>
        </is>
      </c>
    </row>
    <row r="282">
      <c r="A282" s="7" t="inlineStr">
        <is>
          <t>MA</t>
        </is>
      </c>
      <c r="B282" t="inlineStr">
        <is>
          <t>US</t>
        </is>
      </c>
      <c r="C282" s="7" t="n">
        <v>281</v>
      </c>
      <c r="D282" s="7" t="inlineStr">
        <is>
          <t>Link Ventures</t>
        </is>
      </c>
      <c r="E282" s="7" t="inlineStr">
        <is>
          <t>DEEPTECH</t>
        </is>
      </c>
      <c r="F282" s="9" t="inlineStr">
        <is>
          <t>MAYBE</t>
        </is>
      </c>
      <c r="G282" s="7">
        <f>HYPERLINK("http://www.linkventures.com", "www.linkventures.com")</f>
        <v/>
      </c>
      <c r="H282" s="7" t="inlineStr">
        <is>
          <t>AUM: $426.3B | Portfolio: 71 companies</t>
        </is>
      </c>
      <c r="I282" s="7" t="inlineStr">
        <is>
          <t>PitchBook</t>
        </is>
      </c>
    </row>
    <row r="283">
      <c r="A283" s="7" t="inlineStr">
        <is>
          <t>MA</t>
        </is>
      </c>
      <c r="B283" t="inlineStr">
        <is>
          <t>US</t>
        </is>
      </c>
      <c r="C283" s="7" t="n">
        <v>282</v>
      </c>
      <c r="D283" s="7" t="inlineStr">
        <is>
          <t>Mission BioCapital</t>
        </is>
      </c>
      <c r="E283" s="7" t="inlineStr">
        <is>
          <t>DEEPTECH</t>
        </is>
      </c>
      <c r="F283" s="9" t="inlineStr">
        <is>
          <t>MAYBE</t>
        </is>
      </c>
      <c r="G283" s="7">
        <f>HYPERLINK("http://www.missionbiocapital.com", "www.missionbiocapital.com")</f>
        <v/>
      </c>
      <c r="H283" s="7" t="inlineStr">
        <is>
          <t>AUM: $426.3B | Portfolio: 70 companies</t>
        </is>
      </c>
      <c r="I283" s="7" t="inlineStr">
        <is>
          <t>PitchBook</t>
        </is>
      </c>
    </row>
    <row r="284">
      <c r="A284" s="7" t="inlineStr">
        <is>
          <t>Ireland</t>
        </is>
      </c>
      <c r="B284" t="inlineStr">
        <is>
          <t>EU</t>
        </is>
      </c>
      <c r="C284" s="7" t="n">
        <v>283</v>
      </c>
      <c r="D284" s="7" t="inlineStr">
        <is>
          <t>Fountain Healthcare Partners</t>
        </is>
      </c>
      <c r="E284" s="7" t="inlineStr">
        <is>
          <t>DEEPTECH</t>
        </is>
      </c>
      <c r="F284" s="9" t="inlineStr">
        <is>
          <t>MAYBE</t>
        </is>
      </c>
      <c r="G284" s="7">
        <f>HYPERLINK("http://www.fh-partners.com", "www.fh-partners.com")</f>
        <v/>
      </c>
      <c r="H284" s="7" t="inlineStr">
        <is>
          <t>AUM: $425.0B | Portfolio: 11 companies</t>
        </is>
      </c>
      <c r="I284" s="7" t="inlineStr">
        <is>
          <t>PitchBook</t>
        </is>
      </c>
    </row>
    <row r="285">
      <c r="A285" s="7" t="inlineStr">
        <is>
          <t>France</t>
        </is>
      </c>
      <c r="B285" t="inlineStr">
        <is>
          <t>EU</t>
        </is>
      </c>
      <c r="C285" s="7" t="n">
        <v>284</v>
      </c>
      <c r="D285" s="7" t="inlineStr">
        <is>
          <t>Newfund Management</t>
        </is>
      </c>
      <c r="E285" s="7" t="inlineStr">
        <is>
          <t>DEEPTECH</t>
        </is>
      </c>
      <c r="F285" s="9" t="inlineStr">
        <is>
          <t>MAYBE</t>
        </is>
      </c>
      <c r="G285" s="7">
        <f>HYPERLINK("http://www.newfundcap.com", "www.newfundcap.com")</f>
        <v/>
      </c>
      <c r="H285" s="7" t="inlineStr">
        <is>
          <t>AUM: $400.0B | Portfolio: 125 companies</t>
        </is>
      </c>
      <c r="I285" s="7" t="inlineStr">
        <is>
          <t>PitchBook</t>
        </is>
      </c>
    </row>
    <row r="286">
      <c r="A286" s="7" t="inlineStr">
        <is>
          <t>CA</t>
        </is>
      </c>
      <c r="B286" t="inlineStr">
        <is>
          <t>US</t>
        </is>
      </c>
      <c r="C286" s="7" t="n">
        <v>285</v>
      </c>
      <c r="D286" s="7" t="inlineStr">
        <is>
          <t>R136 Ventures</t>
        </is>
      </c>
      <c r="E286" s="7" t="inlineStr">
        <is>
          <t>DEEPTECH</t>
        </is>
      </c>
      <c r="F286" s="9" t="inlineStr">
        <is>
          <t>MAYBE</t>
        </is>
      </c>
      <c r="G286" s="7">
        <f>HYPERLINK("http://www.r136.vc", "www.r136.vc")</f>
        <v/>
      </c>
      <c r="H286" s="7" t="inlineStr">
        <is>
          <t>AUM: $383.7B | Portfolio: 24 companies</t>
        </is>
      </c>
      <c r="I286" s="7" t="inlineStr">
        <is>
          <t>PitchBook</t>
        </is>
      </c>
    </row>
    <row r="287">
      <c r="A287" s="7" t="inlineStr">
        <is>
          <t>CA</t>
        </is>
      </c>
      <c r="B287" t="inlineStr">
        <is>
          <t>US</t>
        </is>
      </c>
      <c r="C287" s="7" t="n">
        <v>286</v>
      </c>
      <c r="D287" s="7" t="inlineStr">
        <is>
          <t>Streamlined Ventures Management</t>
        </is>
      </c>
      <c r="E287" s="7" t="inlineStr">
        <is>
          <t>DEEPTECH</t>
        </is>
      </c>
      <c r="F287" s="9" t="inlineStr">
        <is>
          <t>MAYBE</t>
        </is>
      </c>
      <c r="G287" s="7">
        <f>HYPERLINK("http://www.streamlined.vc", "www.streamlined.vc")</f>
        <v/>
      </c>
      <c r="H287" s="7" t="inlineStr">
        <is>
          <t>AUM: $383.7B | Portfolio: 140 companies</t>
        </is>
      </c>
      <c r="I287" s="7" t="inlineStr">
        <is>
          <t>PitchBook</t>
        </is>
      </c>
    </row>
    <row r="288">
      <c r="A288" s="7" t="inlineStr">
        <is>
          <t>CA</t>
        </is>
      </c>
      <c r="B288" t="inlineStr">
        <is>
          <t>US</t>
        </is>
      </c>
      <c r="C288" s="7" t="n">
        <v>287</v>
      </c>
      <c r="D288" s="7" t="inlineStr">
        <is>
          <t>GroundForce Capital</t>
        </is>
      </c>
      <c r="E288" s="7" t="inlineStr">
        <is>
          <t>DEEPTECH</t>
        </is>
      </c>
      <c r="F288" s="9" t="inlineStr">
        <is>
          <t>MAYBE</t>
        </is>
      </c>
      <c r="G288" s="7">
        <f>HYPERLINK("http://www.groundforcecapital.com", "www.groundforcecapital.com")</f>
        <v/>
      </c>
      <c r="H288" s="7" t="inlineStr">
        <is>
          <t>AUM: $374.3B | Portfolio: 18 companies</t>
        </is>
      </c>
      <c r="I288" s="7" t="inlineStr">
        <is>
          <t>PitchBook</t>
        </is>
      </c>
    </row>
    <row r="289">
      <c r="A289" s="7" t="inlineStr">
        <is>
          <t>Netherlands</t>
        </is>
      </c>
      <c r="B289" t="inlineStr">
        <is>
          <t>EU</t>
        </is>
      </c>
      <c r="C289" s="7" t="n">
        <v>288</v>
      </c>
      <c r="D289" s="7" t="inlineStr">
        <is>
          <t>OTB Ventures</t>
        </is>
      </c>
      <c r="E289" s="7" t="inlineStr">
        <is>
          <t>DEEPTECH</t>
        </is>
      </c>
      <c r="F289" s="9" t="inlineStr">
        <is>
          <t>MAYBE</t>
        </is>
      </c>
      <c r="G289" s="7">
        <f>HYPERLINK("http://www.otb.vc", "www.otb.vc")</f>
        <v/>
      </c>
      <c r="H289" s="7" t="inlineStr">
        <is>
          <t>AUM: $350.0B | Portfolio: 31 companies</t>
        </is>
      </c>
      <c r="I289" s="7" t="inlineStr">
        <is>
          <t>PitchBook</t>
        </is>
      </c>
    </row>
    <row r="290">
      <c r="A290" s="7" t="inlineStr">
        <is>
          <t>CA</t>
        </is>
      </c>
      <c r="B290" t="inlineStr">
        <is>
          <t>US</t>
        </is>
      </c>
      <c r="C290" s="7" t="n">
        <v>289</v>
      </c>
      <c r="D290" s="7" t="inlineStr">
        <is>
          <t>Benhamou Global Ventures</t>
        </is>
      </c>
      <c r="E290" s="7" t="inlineStr">
        <is>
          <t>DEEPTECH</t>
        </is>
      </c>
      <c r="F290" s="9" t="inlineStr">
        <is>
          <t>MAYBE</t>
        </is>
      </c>
      <c r="G290" s="7">
        <f>HYPERLINK("http://benhamouglobalventures.com", "benhamouglobalventures.com")</f>
        <v/>
      </c>
      <c r="H290" s="7" t="inlineStr">
        <is>
          <t>AUM: $347.9B | Portfolio: 62 companies</t>
        </is>
      </c>
      <c r="I290" s="7" t="inlineStr">
        <is>
          <t>PitchBook</t>
        </is>
      </c>
    </row>
    <row r="291">
      <c r="A291" s="7" t="inlineStr">
        <is>
          <t>Spain</t>
        </is>
      </c>
      <c r="B291" t="inlineStr">
        <is>
          <t>EU</t>
        </is>
      </c>
      <c r="C291" s="7" t="n">
        <v>290</v>
      </c>
      <c r="D291" s="7" t="inlineStr">
        <is>
          <t>Columbus Venture Partners</t>
        </is>
      </c>
      <c r="E291" s="7" t="inlineStr">
        <is>
          <t>DEEPTECH</t>
        </is>
      </c>
      <c r="F291" s="9" t="inlineStr">
        <is>
          <t>MAYBE</t>
        </is>
      </c>
      <c r="G291" s="7">
        <f>HYPERLINK("http://www.columbusvp.com", "www.columbusvp.com")</f>
        <v/>
      </c>
      <c r="H291" s="7" t="inlineStr">
        <is>
          <t>AUM: $341.1B | Portfolio: 24 companies</t>
        </is>
      </c>
      <c r="I291" s="7" t="inlineStr">
        <is>
          <t>PitchBook</t>
        </is>
      </c>
    </row>
    <row r="292">
      <c r="A292" s="7" t="inlineStr">
        <is>
          <t>CA</t>
        </is>
      </c>
      <c r="B292" t="inlineStr">
        <is>
          <t>US</t>
        </is>
      </c>
      <c r="C292" s="7" t="n">
        <v>291</v>
      </c>
      <c r="D292" s="7" t="inlineStr">
        <is>
          <t>LDV Partners</t>
        </is>
      </c>
      <c r="E292" s="7" t="inlineStr">
        <is>
          <t>DEEPTECH</t>
        </is>
      </c>
      <c r="F292" s="9" t="inlineStr">
        <is>
          <t>MAYBE</t>
        </is>
      </c>
      <c r="G292" s="7">
        <f>HYPERLINK("http://www.ldvp.com", "www.ldvp.com")</f>
        <v/>
      </c>
      <c r="H292" s="7" t="inlineStr">
        <is>
          <t>AUM: $341.1B | Portfolio: 69 companies</t>
        </is>
      </c>
      <c r="I292" s="7" t="inlineStr">
        <is>
          <t>PitchBook</t>
        </is>
      </c>
    </row>
    <row r="293">
      <c r="A293" s="7" t="inlineStr">
        <is>
          <t>CA</t>
        </is>
      </c>
      <c r="B293" t="inlineStr">
        <is>
          <t>US</t>
        </is>
      </c>
      <c r="C293" s="7" t="n">
        <v>292</v>
      </c>
      <c r="D293" s="7" t="inlineStr">
        <is>
          <t>Resolute Ventures</t>
        </is>
      </c>
      <c r="E293" s="7" t="inlineStr">
        <is>
          <t>DEEPTECH</t>
        </is>
      </c>
      <c r="F293" s="9" t="inlineStr">
        <is>
          <t>MAYBE</t>
        </is>
      </c>
      <c r="G293" s="7">
        <f>HYPERLINK("http://www.resolute.vc", "www.resolute.vc")</f>
        <v/>
      </c>
      <c r="H293" s="7" t="inlineStr">
        <is>
          <t>AUM: $341.1B | Portfolio: 84 companies</t>
        </is>
      </c>
      <c r="I293" s="7" t="inlineStr">
        <is>
          <t>PitchBook</t>
        </is>
      </c>
    </row>
    <row r="294">
      <c r="A294" s="7" t="inlineStr">
        <is>
          <t>Ireland</t>
        </is>
      </c>
      <c r="B294" t="inlineStr">
        <is>
          <t>EU</t>
        </is>
      </c>
      <c r="C294" s="7" t="n">
        <v>293</v>
      </c>
      <c r="D294" s="7" t="inlineStr">
        <is>
          <t>Seroba Life Sciences</t>
        </is>
      </c>
      <c r="E294" s="7" t="inlineStr">
        <is>
          <t>DEEPTECH</t>
        </is>
      </c>
      <c r="F294" s="9" t="inlineStr">
        <is>
          <t>MAYBE</t>
        </is>
      </c>
      <c r="G294" s="7">
        <f>HYPERLINK("http://serobavc.com", "serobavc.com")</f>
        <v/>
      </c>
      <c r="H294" s="7" t="inlineStr">
        <is>
          <t>AUM: $330.0B | Portfolio: 19 companies</t>
        </is>
      </c>
      <c r="I294" s="7" t="inlineStr">
        <is>
          <t>PitchBook</t>
        </is>
      </c>
    </row>
    <row r="295">
      <c r="A295" s="7" t="inlineStr">
        <is>
          <t>NY</t>
        </is>
      </c>
      <c r="B295" t="inlineStr">
        <is>
          <t>US</t>
        </is>
      </c>
      <c r="C295" s="7" t="n">
        <v>294</v>
      </c>
      <c r="D295" s="7" t="inlineStr">
        <is>
          <t>Palm Drive Capital</t>
        </is>
      </c>
      <c r="E295" s="7" t="inlineStr">
        <is>
          <t>DEEPTECH</t>
        </is>
      </c>
      <c r="F295" s="9" t="inlineStr">
        <is>
          <t>MAYBE</t>
        </is>
      </c>
      <c r="G295" s="7">
        <f>HYPERLINK("http://www.palmdrive.vc", "www.palmdrive.vc")</f>
        <v/>
      </c>
      <c r="H295" s="7" t="inlineStr">
        <is>
          <t>AUM: $320.6B | Portfolio: 143 companies</t>
        </is>
      </c>
      <c r="I295" s="7" t="inlineStr">
        <is>
          <t>PitchBook</t>
        </is>
      </c>
    </row>
    <row r="296">
      <c r="A296" s="7" t="inlineStr">
        <is>
          <t>Spain</t>
        </is>
      </c>
      <c r="B296" t="inlineStr">
        <is>
          <t>EU</t>
        </is>
      </c>
      <c r="C296" s="7" t="n">
        <v>295</v>
      </c>
      <c r="D296" s="7" t="inlineStr">
        <is>
          <t>Cardumen Capital</t>
        </is>
      </c>
      <c r="E296" s="7" t="inlineStr">
        <is>
          <t>DEEPTECH</t>
        </is>
      </c>
      <c r="F296" s="9" t="inlineStr">
        <is>
          <t>MAYBE</t>
        </is>
      </c>
      <c r="G296" s="7">
        <f>HYPERLINK("http://www.cardumencapital.com", "www.cardumencapital.com")</f>
        <v/>
      </c>
      <c r="H296" s="7" t="inlineStr">
        <is>
          <t>AUM: $300.0B | Portfolio: 35 companies</t>
        </is>
      </c>
      <c r="I296" s="7" t="inlineStr">
        <is>
          <t>PitchBook</t>
        </is>
      </c>
    </row>
    <row r="297">
      <c r="A297" s="7" t="inlineStr">
        <is>
          <t>DC</t>
        </is>
      </c>
      <c r="B297" t="inlineStr">
        <is>
          <t>US</t>
        </is>
      </c>
      <c r="C297" s="7" t="n">
        <v>296</v>
      </c>
      <c r="D297" s="7" t="inlineStr">
        <is>
          <t>Accion</t>
        </is>
      </c>
      <c r="E297" s="7" t="inlineStr">
        <is>
          <t>DEEPTECH</t>
        </is>
      </c>
      <c r="F297" s="9" t="inlineStr">
        <is>
          <t>MAYBE</t>
        </is>
      </c>
      <c r="G297" s="7">
        <f>HYPERLINK("http://www.accion.org", "www.accion.org")</f>
        <v/>
      </c>
      <c r="H297" s="7" t="inlineStr">
        <is>
          <t>AUM: $287.4B | Portfolio: 101 companies</t>
        </is>
      </c>
      <c r="I297" s="7" t="inlineStr">
        <is>
          <t>PitchBook</t>
        </is>
      </c>
    </row>
    <row r="298">
      <c r="A298" s="7" t="inlineStr">
        <is>
          <t>Canada</t>
        </is>
      </c>
      <c r="B298" t="inlineStr">
        <is>
          <t>Other</t>
        </is>
      </c>
      <c r="C298" s="7" t="n">
        <v>297</v>
      </c>
      <c r="D298" s="7" t="inlineStr">
        <is>
          <t>Sectoral Asset Management</t>
        </is>
      </c>
      <c r="E298" s="7" t="inlineStr">
        <is>
          <t>DEEPTECH</t>
        </is>
      </c>
      <c r="F298" s="9" t="inlineStr">
        <is>
          <t>MAYBE</t>
        </is>
      </c>
      <c r="G298" s="7">
        <f>HYPERLINK("http://www.sectoral.com", "www.sectoral.com")</f>
        <v/>
      </c>
      <c r="H298" s="7" t="inlineStr">
        <is>
          <t>AUM: $282.6B | Portfolio: 18 companies</t>
        </is>
      </c>
      <c r="I298" s="7" t="inlineStr">
        <is>
          <t>PitchBook</t>
        </is>
      </c>
    </row>
    <row r="299">
      <c r="A299" s="7" t="inlineStr">
        <is>
          <t>Germany</t>
        </is>
      </c>
      <c r="B299" t="inlineStr">
        <is>
          <t>EU</t>
        </is>
      </c>
      <c r="C299" s="7" t="n">
        <v>298</v>
      </c>
      <c r="D299" s="7" t="inlineStr">
        <is>
          <t>IBB Ventures</t>
        </is>
      </c>
      <c r="E299" s="7" t="inlineStr">
        <is>
          <t>DEEPTECH</t>
        </is>
      </c>
      <c r="F299" s="9" t="inlineStr">
        <is>
          <t>MAYBE</t>
        </is>
      </c>
      <c r="G299" s="7">
        <f>HYPERLINK("http://www.ibbventures.de", "www.ibbventures.de")</f>
        <v/>
      </c>
      <c r="H299" s="7" t="inlineStr">
        <is>
          <t>AUM: $282.0B | Portfolio: 116 companies</t>
        </is>
      </c>
      <c r="I299" s="7" t="inlineStr">
        <is>
          <t>PitchBook</t>
        </is>
      </c>
    </row>
    <row r="300">
      <c r="A300" s="7" t="inlineStr">
        <is>
          <t>NY</t>
        </is>
      </c>
      <c r="B300" t="inlineStr">
        <is>
          <t>US</t>
        </is>
      </c>
      <c r="C300" s="7" t="n">
        <v>299</v>
      </c>
      <c r="D300" s="7" t="inlineStr">
        <is>
          <t>Silas Capital</t>
        </is>
      </c>
      <c r="E300" s="7" t="inlineStr">
        <is>
          <t>DEEPTECH</t>
        </is>
      </c>
      <c r="F300" s="9" t="inlineStr">
        <is>
          <t>MAYBE</t>
        </is>
      </c>
      <c r="G300" s="7">
        <f>HYPERLINK("http://www.silascapital.com", "www.silascapital.com")</f>
        <v/>
      </c>
      <c r="H300" s="7" t="inlineStr">
        <is>
          <t>AUM: $272.9B | Portfolio: 51 companies</t>
        </is>
      </c>
      <c r="I300" s="7" t="inlineStr">
        <is>
          <t>PitchBook</t>
        </is>
      </c>
    </row>
    <row r="301">
      <c r="A301" s="7" t="inlineStr">
        <is>
          <t>Czech Republic</t>
        </is>
      </c>
      <c r="B301" t="inlineStr">
        <is>
          <t>EU</t>
        </is>
      </c>
      <c r="C301" s="7" t="n">
        <v>300</v>
      </c>
      <c r="D301" s="7" t="inlineStr">
        <is>
          <t>Kaya VC</t>
        </is>
      </c>
      <c r="E301" s="7" t="inlineStr">
        <is>
          <t>DEEPTECH</t>
        </is>
      </c>
      <c r="F301" s="9" t="inlineStr">
        <is>
          <t>MAYBE</t>
        </is>
      </c>
      <c r="G301" s="7">
        <f>HYPERLINK("http://www.kaya.vc", "www.kaya.vc")</f>
        <v/>
      </c>
      <c r="H301" s="7" t="inlineStr">
        <is>
          <t>AUM: $270.0B | Portfolio: 41 companies</t>
        </is>
      </c>
      <c r="I301" s="7" t="inlineStr">
        <is>
          <t>PitchBook</t>
        </is>
      </c>
    </row>
    <row r="302">
      <c r="A302" s="7" t="inlineStr">
        <is>
          <t>Denmark</t>
        </is>
      </c>
      <c r="B302" t="inlineStr">
        <is>
          <t>EU</t>
        </is>
      </c>
      <c r="C302" s="7" t="n">
        <v>301</v>
      </c>
      <c r="D302" s="7" t="inlineStr">
        <is>
          <t>Seed Capital Management</t>
        </is>
      </c>
      <c r="E302" s="7" t="inlineStr">
        <is>
          <t>DEEPTECH</t>
        </is>
      </c>
      <c r="F302" s="9" t="inlineStr">
        <is>
          <t>MAYBE</t>
        </is>
      </c>
      <c r="G302" s="7">
        <f>HYPERLINK("http://www.seedcapital.dk", "www.seedcapital.dk")</f>
        <v/>
      </c>
      <c r="H302" s="7" t="inlineStr">
        <is>
          <t>AUM: $270.0B | Portfolio: 33 companies</t>
        </is>
      </c>
      <c r="I302" s="7" t="inlineStr">
        <is>
          <t>PitchBook</t>
        </is>
      </c>
    </row>
    <row r="303">
      <c r="A303" s="7" t="inlineStr">
        <is>
          <t>Italy</t>
        </is>
      </c>
      <c r="B303" t="inlineStr">
        <is>
          <t>EU</t>
        </is>
      </c>
      <c r="C303" s="7" t="n">
        <v>302</v>
      </c>
      <c r="D303" s="7" t="inlineStr">
        <is>
          <t>Vertis SGR</t>
        </is>
      </c>
      <c r="E303" s="7" t="inlineStr">
        <is>
          <t>DEEPTECH</t>
        </is>
      </c>
      <c r="F303" s="9" t="inlineStr">
        <is>
          <t>MAYBE</t>
        </is>
      </c>
      <c r="G303" s="7">
        <f>HYPERLINK("http://www.vertis.it", "www.vertis.it")</f>
        <v/>
      </c>
      <c r="H303" s="7" t="inlineStr">
        <is>
          <t>AUM: $270.0B | Portfolio: 30 companies</t>
        </is>
      </c>
      <c r="I303" s="7" t="inlineStr">
        <is>
          <t>PitchBook</t>
        </is>
      </c>
    </row>
    <row r="304">
      <c r="A304" s="7" t="inlineStr">
        <is>
          <t>NY</t>
        </is>
      </c>
      <c r="B304" t="inlineStr">
        <is>
          <t>US</t>
        </is>
      </c>
      <c r="C304" s="7" t="n">
        <v>303</v>
      </c>
      <c r="D304" s="7" t="inlineStr">
        <is>
          <t>Tribeca Venture Partners</t>
        </is>
      </c>
      <c r="E304" s="7" t="inlineStr">
        <is>
          <t>DEEPTECH</t>
        </is>
      </c>
      <c r="F304" s="9" t="inlineStr">
        <is>
          <t>MAYBE</t>
        </is>
      </c>
      <c r="G304" s="7">
        <f>HYPERLINK("http://www.tribecavp.com", "www.tribecavp.com")</f>
        <v/>
      </c>
      <c r="H304" s="7" t="inlineStr">
        <is>
          <t>AUM: $262.2B | Portfolio: 38 companies</t>
        </is>
      </c>
      <c r="I304" s="7" t="inlineStr">
        <is>
          <t>PitchBook</t>
        </is>
      </c>
    </row>
    <row r="305">
      <c r="A305" s="7" t="inlineStr">
        <is>
          <t>France</t>
        </is>
      </c>
      <c r="B305" t="inlineStr">
        <is>
          <t>EU</t>
        </is>
      </c>
      <c r="C305" s="7" t="n">
        <v>304</v>
      </c>
      <c r="D305" s="7" t="inlineStr">
        <is>
          <t>Karista (Paris)</t>
        </is>
      </c>
      <c r="E305" s="7" t="inlineStr">
        <is>
          <t>DEEPTECH</t>
        </is>
      </c>
      <c r="F305" s="9" t="inlineStr">
        <is>
          <t>MAYBE</t>
        </is>
      </c>
      <c r="G305" s="7">
        <f>HYPERLINK("http://www.karista.vc", "www.karista.vc")</f>
        <v/>
      </c>
      <c r="H305" s="7" t="inlineStr">
        <is>
          <t>AUM: $260.0B | Portfolio: 43 companies</t>
        </is>
      </c>
      <c r="I305" s="7" t="inlineStr">
        <is>
          <t>PitchBook</t>
        </is>
      </c>
    </row>
    <row r="306">
      <c r="A306" s="7" t="inlineStr">
        <is>
          <t>FL</t>
        </is>
      </c>
      <c r="B306" t="inlineStr">
        <is>
          <t>US</t>
        </is>
      </c>
      <c r="C306" s="7" t="n">
        <v>305</v>
      </c>
      <c r="D306" s="7" t="inlineStr">
        <is>
          <t>Deepwork Capital</t>
        </is>
      </c>
      <c r="E306" s="7" t="inlineStr">
        <is>
          <t>DEEPTECH</t>
        </is>
      </c>
      <c r="F306" s="9" t="inlineStr">
        <is>
          <t>MAYBE</t>
        </is>
      </c>
      <c r="G306" s="7">
        <f>HYPERLINK("http://www.deepworkcapital.com", "www.deepworkcapital.com")</f>
        <v/>
      </c>
      <c r="H306" s="7" t="inlineStr">
        <is>
          <t>AUM: $255.8B | Portfolio: 38 companies</t>
        </is>
      </c>
      <c r="I306" s="7" t="inlineStr">
        <is>
          <t>PitchBook</t>
        </is>
      </c>
    </row>
    <row r="307">
      <c r="A307" s="7" t="inlineStr">
        <is>
          <t>NY</t>
        </is>
      </c>
      <c r="B307" t="inlineStr">
        <is>
          <t>US</t>
        </is>
      </c>
      <c r="C307" s="7" t="n">
        <v>306</v>
      </c>
      <c r="D307" s="7" t="inlineStr">
        <is>
          <t>Kairos HQ</t>
        </is>
      </c>
      <c r="E307" s="7" t="inlineStr">
        <is>
          <t>DEEPTECH</t>
        </is>
      </c>
      <c r="F307" s="9" t="inlineStr">
        <is>
          <t>MAYBE</t>
        </is>
      </c>
      <c r="G307" s="7">
        <f>HYPERLINK("http://www.kairoshq.com", "www.kairoshq.com")</f>
        <v/>
      </c>
      <c r="H307" s="7" t="inlineStr">
        <is>
          <t>AUM: $255.8B | Portfolio: 21 companies</t>
        </is>
      </c>
      <c r="I307" s="7" t="inlineStr">
        <is>
          <t>PitchBook</t>
        </is>
      </c>
    </row>
    <row r="308">
      <c r="A308" s="7" t="inlineStr">
        <is>
          <t>United Kingdom</t>
        </is>
      </c>
      <c r="B308" t="inlineStr">
        <is>
          <t>EU</t>
        </is>
      </c>
      <c r="C308" s="7" t="n">
        <v>307</v>
      </c>
      <c r="D308" s="7" t="inlineStr">
        <is>
          <t>Launchbay Capital</t>
        </is>
      </c>
      <c r="E308" s="7" t="inlineStr">
        <is>
          <t>DEEPTECH</t>
        </is>
      </c>
      <c r="F308" s="9" t="inlineStr">
        <is>
          <t>MAYBE</t>
        </is>
      </c>
      <c r="G308" s="7">
        <f>HYPERLINK("http://www.launchbaycapital.com", "www.launchbaycapital.com")</f>
        <v/>
      </c>
      <c r="H308" s="7" t="inlineStr">
        <is>
          <t>AUM: $255.8B | Portfolio: 49 companies</t>
        </is>
      </c>
      <c r="I308" s="7" t="inlineStr">
        <is>
          <t>PitchBook</t>
        </is>
      </c>
    </row>
    <row r="309">
      <c r="A309" s="7" t="inlineStr">
        <is>
          <t>Germany</t>
        </is>
      </c>
      <c r="B309" t="inlineStr">
        <is>
          <t>EU</t>
        </is>
      </c>
      <c r="C309" s="7" t="n">
        <v>308</v>
      </c>
      <c r="D309" s="7" t="inlineStr">
        <is>
          <t>Matterwave Ventures</t>
        </is>
      </c>
      <c r="E309" s="7" t="inlineStr">
        <is>
          <t>DEEPTECH</t>
        </is>
      </c>
      <c r="F309" s="9" t="inlineStr">
        <is>
          <t>MAYBE</t>
        </is>
      </c>
      <c r="G309" s="7">
        <f>HYPERLINK("http://www.matterwave.vc", "www.matterwave.vc")</f>
        <v/>
      </c>
      <c r="H309" s="7" t="inlineStr">
        <is>
          <t>AUM: $250.0B | Portfolio: 44 companies</t>
        </is>
      </c>
      <c r="I309" s="7" t="inlineStr">
        <is>
          <t>PitchBook</t>
        </is>
      </c>
    </row>
    <row r="310">
      <c r="A310" s="7" t="inlineStr">
        <is>
          <t>Japan</t>
        </is>
      </c>
      <c r="B310" t="inlineStr">
        <is>
          <t>JP</t>
        </is>
      </c>
      <c r="C310" s="7" t="n">
        <v>309</v>
      </c>
      <c r="D310" s="7" t="inlineStr">
        <is>
          <t>Fast Track Initiative</t>
        </is>
      </c>
      <c r="E310" s="7" t="inlineStr">
        <is>
          <t>DEEPTECH</t>
        </is>
      </c>
      <c r="F310" s="9" t="inlineStr">
        <is>
          <t>MAYBE</t>
        </is>
      </c>
      <c r="G310" s="7">
        <f>HYPERLINK("http://us.fasttrackinitiative.com", "us.fasttrackinitiative.com")</f>
        <v/>
      </c>
      <c r="H310" s="7" t="inlineStr">
        <is>
          <t>AUM: $233.7B | Portfolio: 28 companies</t>
        </is>
      </c>
      <c r="I310" s="7" t="inlineStr">
        <is>
          <t>PitchBook</t>
        </is>
      </c>
    </row>
    <row r="311">
      <c r="A311" s="7" t="inlineStr">
        <is>
          <t>Norway</t>
        </is>
      </c>
      <c r="B311" t="inlineStr">
        <is>
          <t>EU</t>
        </is>
      </c>
      <c r="C311" s="7" t="n">
        <v>310</v>
      </c>
      <c r="D311" s="7" t="inlineStr">
        <is>
          <t>Hadean Ventures</t>
        </is>
      </c>
      <c r="E311" s="7" t="inlineStr">
        <is>
          <t>DEEPTECH</t>
        </is>
      </c>
      <c r="F311" s="9" t="inlineStr">
        <is>
          <t>MAYBE</t>
        </is>
      </c>
      <c r="G311" s="7">
        <f>HYPERLINK("http://www.hadeanventures.com", "www.hadeanventures.com")</f>
        <v/>
      </c>
      <c r="H311" s="7" t="inlineStr">
        <is>
          <t>AUM: $230.0B | Portfolio: 14 companies</t>
        </is>
      </c>
      <c r="I311" s="7" t="inlineStr">
        <is>
          <t>PitchBook</t>
        </is>
      </c>
    </row>
    <row r="312">
      <c r="A312" s="7" t="inlineStr">
        <is>
          <t>United Kingdom</t>
        </is>
      </c>
      <c r="B312" t="inlineStr">
        <is>
          <t>EU</t>
        </is>
      </c>
      <c r="C312" s="7" t="n">
        <v>311</v>
      </c>
      <c r="D312" s="7" t="inlineStr">
        <is>
          <t>Backed</t>
        </is>
      </c>
      <c r="E312" s="7" t="inlineStr">
        <is>
          <t>DEEPTECH</t>
        </is>
      </c>
      <c r="F312" s="9" t="inlineStr">
        <is>
          <t>MAYBE</t>
        </is>
      </c>
      <c r="G312" s="7">
        <f>HYPERLINK("http://www.backed.vc", "www.backed.vc")</f>
        <v/>
      </c>
      <c r="H312" s="7" t="inlineStr">
        <is>
          <t>AUM: $220.0B | Portfolio: 78 companies</t>
        </is>
      </c>
      <c r="I312" s="7" t="inlineStr">
        <is>
          <t>PitchBook</t>
        </is>
      </c>
    </row>
    <row r="313">
      <c r="A313" s="7" t="inlineStr">
        <is>
          <t>Iceland</t>
        </is>
      </c>
      <c r="B313" t="inlineStr">
        <is>
          <t>EU</t>
        </is>
      </c>
      <c r="C313" s="7" t="n">
        <v>312</v>
      </c>
      <c r="D313" s="7" t="inlineStr">
        <is>
          <t>Frumtak Ventures</t>
        </is>
      </c>
      <c r="E313" s="7" t="inlineStr">
        <is>
          <t>DEEPTECH</t>
        </is>
      </c>
      <c r="F313" s="9" t="inlineStr">
        <is>
          <t>MAYBE</t>
        </is>
      </c>
      <c r="G313" s="7">
        <f>HYPERLINK("http://frumtak.is", "frumtak.is")</f>
        <v/>
      </c>
      <c r="H313" s="7" t="inlineStr">
        <is>
          <t>AUM: $215.0B | Portfolio: 21 companies</t>
        </is>
      </c>
      <c r="I313" s="7" t="inlineStr">
        <is>
          <t>PitchBook</t>
        </is>
      </c>
    </row>
    <row r="314">
      <c r="A314" s="7" t="inlineStr">
        <is>
          <t>CA</t>
        </is>
      </c>
      <c r="B314" t="inlineStr">
        <is>
          <t>US</t>
        </is>
      </c>
      <c r="C314" s="7" t="n">
        <v>313</v>
      </c>
      <c r="D314" s="7" t="inlineStr">
        <is>
          <t>Signia Venture Partners</t>
        </is>
      </c>
      <c r="E314" s="7" t="inlineStr">
        <is>
          <t>DEEPTECH</t>
        </is>
      </c>
      <c r="F314" s="9" t="inlineStr">
        <is>
          <t>MAYBE</t>
        </is>
      </c>
      <c r="G314" s="7">
        <f>HYPERLINK("http://www.signiaventurepartners.com", "www.signiaventurepartners.com")</f>
        <v/>
      </c>
      <c r="H314" s="7" t="inlineStr">
        <is>
          <t>AUM: $210.6B | Portfolio: 44 companies</t>
        </is>
      </c>
      <c r="I314" s="7" t="inlineStr">
        <is>
          <t>PitchBook</t>
        </is>
      </c>
    </row>
    <row r="315">
      <c r="A315" s="7" t="inlineStr">
        <is>
          <t>Canada</t>
        </is>
      </c>
      <c r="B315" t="inlineStr">
        <is>
          <t>Other</t>
        </is>
      </c>
      <c r="C315" s="7" t="n">
        <v>314</v>
      </c>
      <c r="D315" s="7" t="inlineStr">
        <is>
          <t>Sixty Degree Capital</t>
        </is>
      </c>
      <c r="E315" s="7" t="inlineStr">
        <is>
          <t>DEEPTECH</t>
        </is>
      </c>
      <c r="F315" s="9" t="inlineStr">
        <is>
          <t>MAYBE</t>
        </is>
      </c>
      <c r="G315" s="7">
        <f>HYPERLINK("http://www.sixtydegreecapital.com", "www.sixtydegreecapital.com")</f>
        <v/>
      </c>
      <c r="H315" s="7" t="inlineStr">
        <is>
          <t>AUM: $210.2B | Portfolio: 41 companies</t>
        </is>
      </c>
      <c r="I315" s="7" t="inlineStr">
        <is>
          <t>PitchBook</t>
        </is>
      </c>
    </row>
    <row r="316">
      <c r="A316" s="7" t="inlineStr">
        <is>
          <t>Mexico</t>
        </is>
      </c>
      <c r="B316" t="inlineStr">
        <is>
          <t>Other</t>
        </is>
      </c>
      <c r="C316" s="7" t="n">
        <v>315</v>
      </c>
      <c r="D316" s="7" t="inlineStr">
        <is>
          <t>Dalus Capital</t>
        </is>
      </c>
      <c r="E316" s="7" t="inlineStr">
        <is>
          <t>DEEPTECH</t>
        </is>
      </c>
      <c r="F316" s="9" t="inlineStr">
        <is>
          <t>MAYBE</t>
        </is>
      </c>
      <c r="G316" s="7">
        <f>HYPERLINK("http://www.daluscapital.com", "www.daluscapital.com")</f>
        <v/>
      </c>
      <c r="H316" s="7" t="inlineStr">
        <is>
          <t>AUM: $187.6B | Portfolio: 34 companies</t>
        </is>
      </c>
      <c r="I316" s="7" t="inlineStr">
        <is>
          <t>PitchBook</t>
        </is>
      </c>
    </row>
    <row r="317">
      <c r="A317" s="7" t="inlineStr">
        <is>
          <t>Germany</t>
        </is>
      </c>
      <c r="B317" t="inlineStr">
        <is>
          <t>EU</t>
        </is>
      </c>
      <c r="C317" s="7" t="n">
        <v>316</v>
      </c>
      <c r="D317" s="7" t="inlineStr">
        <is>
          <t>Apollo Health Ventures</t>
        </is>
      </c>
      <c r="E317" s="7" t="inlineStr">
        <is>
          <t>DEEPTECH</t>
        </is>
      </c>
      <c r="F317" s="9" t="inlineStr">
        <is>
          <t>MAYBE</t>
        </is>
      </c>
      <c r="G317" s="7">
        <f>HYPERLINK("http://www.apollo.vc", "www.apollo.vc")</f>
        <v/>
      </c>
      <c r="H317" s="7" t="inlineStr">
        <is>
          <t>AUM: $180.0B | Portfolio: 17 companies</t>
        </is>
      </c>
      <c r="I317" s="7" t="inlineStr">
        <is>
          <t>PitchBook</t>
        </is>
      </c>
    </row>
    <row r="318">
      <c r="A318" s="7" t="inlineStr">
        <is>
          <t>IL</t>
        </is>
      </c>
      <c r="B318" t="inlineStr">
        <is>
          <t>Other</t>
        </is>
      </c>
      <c r="C318" s="7" t="n">
        <v>317</v>
      </c>
      <c r="D318" s="7" t="inlineStr">
        <is>
          <t>First Analysis</t>
        </is>
      </c>
      <c r="E318" s="7" t="inlineStr">
        <is>
          <t>DEEPTECH</t>
        </is>
      </c>
      <c r="F318" s="9" t="inlineStr">
        <is>
          <t>MAYBE</t>
        </is>
      </c>
      <c r="G318" s="7">
        <f>HYPERLINK("http://www.firstanalysis.com", "www.firstanalysis.com")</f>
        <v/>
      </c>
      <c r="H318" s="7" t="inlineStr">
        <is>
          <t>AUM: $171.4B | Portfolio: 30 companies</t>
        </is>
      </c>
      <c r="I318" s="7" t="inlineStr">
        <is>
          <t>PitchBook</t>
        </is>
      </c>
    </row>
    <row r="319">
      <c r="A319" s="7" t="inlineStr">
        <is>
          <t>NY</t>
        </is>
      </c>
      <c r="B319" t="inlineStr">
        <is>
          <t>US</t>
        </is>
      </c>
      <c r="C319" s="7" t="n">
        <v>318</v>
      </c>
      <c r="D319" s="7" t="inlineStr">
        <is>
          <t>Arctic Ventures</t>
        </is>
      </c>
      <c r="E319" s="7" t="inlineStr">
        <is>
          <t>DEEPTECH</t>
        </is>
      </c>
      <c r="F319" s="9" t="inlineStr">
        <is>
          <t>MAYBE</t>
        </is>
      </c>
      <c r="G319" s="7">
        <f>HYPERLINK("http://arcticventures.vc", "arcticventures.vc")</f>
        <v/>
      </c>
      <c r="H319" s="7" t="inlineStr">
        <is>
          <t>AUM: $170.5B | Portfolio: 12 companies</t>
        </is>
      </c>
      <c r="I319" s="7" t="inlineStr">
        <is>
          <t>PitchBook</t>
        </is>
      </c>
    </row>
    <row r="320">
      <c r="A320" s="7" t="inlineStr">
        <is>
          <t>VA</t>
        </is>
      </c>
      <c r="B320" t="inlineStr">
        <is>
          <t>US</t>
        </is>
      </c>
      <c r="C320" s="7" t="n">
        <v>319</v>
      </c>
      <c r="D320" s="7" t="inlineStr">
        <is>
          <t>Blu Venture Investors</t>
        </is>
      </c>
      <c r="E320" s="7" t="inlineStr">
        <is>
          <t>DEEPTECH</t>
        </is>
      </c>
      <c r="F320" s="9" t="inlineStr">
        <is>
          <t>MAYBE</t>
        </is>
      </c>
      <c r="G320" s="7">
        <f>HYPERLINK("http://www.bluventureinvestors.com", "www.bluventureinvestors.com")</f>
        <v/>
      </c>
      <c r="H320" s="7" t="inlineStr">
        <is>
          <t>AUM: $170.5B | Portfolio: 71 companies</t>
        </is>
      </c>
      <c r="I320" s="7" t="inlineStr">
        <is>
          <t>PitchBook</t>
        </is>
      </c>
    </row>
    <row r="321">
      <c r="A321" s="7" t="inlineStr">
        <is>
          <t>France</t>
        </is>
      </c>
      <c r="B321" t="inlineStr">
        <is>
          <t>EU</t>
        </is>
      </c>
      <c r="C321" s="7" t="n">
        <v>320</v>
      </c>
      <c r="D321" s="7" t="inlineStr">
        <is>
          <t>EduCapital</t>
        </is>
      </c>
      <c r="E321" s="7" t="inlineStr">
        <is>
          <t>DEEPTECH</t>
        </is>
      </c>
      <c r="F321" s="9" t="inlineStr">
        <is>
          <t>MAYBE</t>
        </is>
      </c>
      <c r="G321" s="7">
        <f>HYPERLINK("http://www.educapitalvc.com", "www.educapitalvc.com")</f>
        <v/>
      </c>
      <c r="H321" s="7" t="inlineStr">
        <is>
          <t>AUM: $170.5B | Portfolio: 36 companies</t>
        </is>
      </c>
      <c r="I321" s="7" t="inlineStr">
        <is>
          <t>PitchBook</t>
        </is>
      </c>
    </row>
    <row r="322">
      <c r="A322" s="7" t="inlineStr">
        <is>
          <t>China</t>
        </is>
      </c>
      <c r="B322" t="inlineStr">
        <is>
          <t>Other</t>
        </is>
      </c>
      <c r="C322" s="7" t="n">
        <v>321</v>
      </c>
      <c r="D322" s="7" t="inlineStr">
        <is>
          <t>Eminence Ventures</t>
        </is>
      </c>
      <c r="E322" s="7" t="inlineStr">
        <is>
          <t>DEEPTECH</t>
        </is>
      </c>
      <c r="F322" s="9" t="inlineStr">
        <is>
          <t>MAYBE</t>
        </is>
      </c>
      <c r="G322" s="7">
        <f>HYPERLINK("http://www.emventures.cn", "www.emventures.cn")</f>
        <v/>
      </c>
      <c r="H322" s="7" t="inlineStr">
        <is>
          <t>AUM: $170.5B | Portfolio: 37 companies</t>
        </is>
      </c>
      <c r="I322" s="7" t="inlineStr">
        <is>
          <t>PitchBook</t>
        </is>
      </c>
    </row>
    <row r="323">
      <c r="A323" s="7" t="inlineStr">
        <is>
          <t>CA</t>
        </is>
      </c>
      <c r="B323" t="inlineStr">
        <is>
          <t>US</t>
        </is>
      </c>
      <c r="C323" s="7" t="n">
        <v>322</v>
      </c>
      <c r="D323" s="7" t="inlineStr">
        <is>
          <t>Maven Ventures</t>
        </is>
      </c>
      <c r="E323" s="7" t="inlineStr">
        <is>
          <t>DEEPTECH</t>
        </is>
      </c>
      <c r="F323" s="9" t="inlineStr">
        <is>
          <t>MAYBE</t>
        </is>
      </c>
      <c r="G323" s="7">
        <f>HYPERLINK("http://www.mavenventures.com", "www.mavenventures.com")</f>
        <v/>
      </c>
      <c r="H323" s="7" t="inlineStr">
        <is>
          <t>AUM: $170.5B | Portfolio: 33 companies</t>
        </is>
      </c>
      <c r="I323" s="7" t="inlineStr">
        <is>
          <t>PitchBook</t>
        </is>
      </c>
    </row>
    <row r="324">
      <c r="A324" s="7" t="inlineStr">
        <is>
          <t>Spain</t>
        </is>
      </c>
      <c r="B324" t="inlineStr">
        <is>
          <t>EU</t>
        </is>
      </c>
      <c r="C324" s="7" t="n">
        <v>323</v>
      </c>
      <c r="D324" s="7" t="inlineStr">
        <is>
          <t>Clave (Pamplona)</t>
        </is>
      </c>
      <c r="E324" s="7" t="inlineStr">
        <is>
          <t>DEEPTECH</t>
        </is>
      </c>
      <c r="F324" s="9" t="inlineStr">
        <is>
          <t>MAYBE</t>
        </is>
      </c>
      <c r="G324" s="7">
        <f>HYPERLINK("http://www.clave.capital", "www.clave.capital")</f>
        <v/>
      </c>
      <c r="H324" s="7" t="inlineStr">
        <is>
          <t>AUM: $170.0B | Portfolio: 75 companies</t>
        </is>
      </c>
      <c r="I324" s="7" t="inlineStr">
        <is>
          <t>PitchBook</t>
        </is>
      </c>
    </row>
    <row r="325">
      <c r="A325" s="7" t="inlineStr">
        <is>
          <t>IL</t>
        </is>
      </c>
      <c r="B325" t="inlineStr">
        <is>
          <t>Other</t>
        </is>
      </c>
      <c r="C325" s="7" t="n">
        <v>324</v>
      </c>
      <c r="D325" s="7" t="inlineStr">
        <is>
          <t>R7</t>
        </is>
      </c>
      <c r="E325" s="7" t="inlineStr">
        <is>
          <t>DEEPTECH</t>
        </is>
      </c>
      <c r="F325" s="9" t="inlineStr">
        <is>
          <t>MAYBE</t>
        </is>
      </c>
      <c r="G325" s="7">
        <f>HYPERLINK("http://r7.vc", "r7.vc")</f>
        <v/>
      </c>
      <c r="H325" s="7" t="inlineStr">
        <is>
          <t>AUM: $166.3B | Portfolio: 25 companies</t>
        </is>
      </c>
      <c r="I325" s="7" t="inlineStr">
        <is>
          <t>PitchBook</t>
        </is>
      </c>
    </row>
    <row r="326">
      <c r="A326" s="7" t="inlineStr">
        <is>
          <t>MA</t>
        </is>
      </c>
      <c r="B326" t="inlineStr">
        <is>
          <t>US</t>
        </is>
      </c>
      <c r="C326" s="7" t="n">
        <v>325</v>
      </c>
      <c r="D326" s="7" t="inlineStr">
        <is>
          <t>Agent Capital</t>
        </is>
      </c>
      <c r="E326" s="7" t="inlineStr">
        <is>
          <t>DEEPTECH</t>
        </is>
      </c>
      <c r="F326" s="9" t="inlineStr">
        <is>
          <t>MAYBE</t>
        </is>
      </c>
      <c r="G326" s="7">
        <f>HYPERLINK("http://www.agentcapital.com", "www.agentcapital.com")</f>
        <v/>
      </c>
      <c r="H326" s="7" t="inlineStr">
        <is>
          <t>AUM: $162.0B | Portfolio: 26 companies</t>
        </is>
      </c>
      <c r="I326" s="7" t="inlineStr">
        <is>
          <t>PitchBook</t>
        </is>
      </c>
    </row>
    <row r="327">
      <c r="A327" s="7" t="inlineStr">
        <is>
          <t>France</t>
        </is>
      </c>
      <c r="B327" t="inlineStr">
        <is>
          <t>EU</t>
        </is>
      </c>
      <c r="C327" s="7" t="n">
        <v>326</v>
      </c>
      <c r="D327" s="7" t="inlineStr">
        <is>
          <t>AdBio partners</t>
        </is>
      </c>
      <c r="E327" s="7" t="inlineStr">
        <is>
          <t>DEEPTECH</t>
        </is>
      </c>
      <c r="F327" s="9" t="inlineStr">
        <is>
          <t>MAYBE</t>
        </is>
      </c>
      <c r="G327" s="7">
        <f>HYPERLINK("http://www.adbio.partners", "www.adbio.partners")</f>
        <v/>
      </c>
      <c r="H327" s="7" t="inlineStr">
        <is>
          <t>AUM: $161.0B | Portfolio: 21 companies</t>
        </is>
      </c>
      <c r="I327" s="7" t="inlineStr">
        <is>
          <t>PitchBook</t>
        </is>
      </c>
    </row>
    <row r="328">
      <c r="A328" s="7" t="inlineStr">
        <is>
          <t>Germany</t>
        </is>
      </c>
      <c r="B328" t="inlineStr">
        <is>
          <t>EU</t>
        </is>
      </c>
      <c r="C328" s="7" t="n">
        <v>327</v>
      </c>
      <c r="D328" s="7" t="inlineStr">
        <is>
          <t>10x Founders</t>
        </is>
      </c>
      <c r="E328" s="7" t="inlineStr">
        <is>
          <t>DEEPTECH</t>
        </is>
      </c>
      <c r="F328" s="9" t="inlineStr">
        <is>
          <t>MAYBE</t>
        </is>
      </c>
      <c r="G328" s="7">
        <f>HYPERLINK("http://www.10xfounders.com", "www.10xfounders.com")</f>
        <v/>
      </c>
      <c r="H328" s="7" t="inlineStr">
        <is>
          <t>AUM: $160.0B | Portfolio: 66 companies</t>
        </is>
      </c>
      <c r="I328" s="7" t="inlineStr">
        <is>
          <t>PitchBook</t>
        </is>
      </c>
    </row>
    <row r="329">
      <c r="A329" s="7" t="inlineStr">
        <is>
          <t>DC</t>
        </is>
      </c>
      <c r="B329" t="inlineStr">
        <is>
          <t>US</t>
        </is>
      </c>
      <c r="C329" s="7" t="n">
        <v>328</v>
      </c>
      <c r="D329" s="7" t="inlineStr">
        <is>
          <t>Zeal Capital Partners</t>
        </is>
      </c>
      <c r="E329" s="7" t="inlineStr">
        <is>
          <t>DEEPTECH</t>
        </is>
      </c>
      <c r="F329" s="9" t="inlineStr">
        <is>
          <t>MAYBE</t>
        </is>
      </c>
      <c r="G329" s="7">
        <f>HYPERLINK("http://www.zealcapitalpartners.com", "www.zealcapitalpartners.com")</f>
        <v/>
      </c>
      <c r="H329" s="7" t="inlineStr">
        <is>
          <t>AUM: $158.6B | Portfolio: 57 companies</t>
        </is>
      </c>
      <c r="I329" s="7" t="inlineStr">
        <is>
          <t>PitchBook</t>
        </is>
      </c>
    </row>
    <row r="330">
      <c r="A330" s="7" t="inlineStr">
        <is>
          <t>France</t>
        </is>
      </c>
      <c r="B330" t="inlineStr">
        <is>
          <t>EU</t>
        </is>
      </c>
      <c r="C330" s="7" t="n">
        <v>329</v>
      </c>
      <c r="D330" s="7" t="inlineStr">
        <is>
          <t>Kreaxi</t>
        </is>
      </c>
      <c r="E330" s="7" t="inlineStr">
        <is>
          <t>DEEPTECH</t>
        </is>
      </c>
      <c r="F330" s="9" t="inlineStr">
        <is>
          <t>MAYBE</t>
        </is>
      </c>
      <c r="G330" s="7">
        <f>HYPERLINK("http://www.kreaxi.com", "www.kreaxi.com")</f>
        <v/>
      </c>
      <c r="H330" s="7" t="inlineStr">
        <is>
          <t>AUM: $154.0B | Portfolio: 47 companies</t>
        </is>
      </c>
      <c r="I330" s="7" t="inlineStr">
        <is>
          <t>PitchBook</t>
        </is>
      </c>
    </row>
    <row r="331">
      <c r="A331" s="7" t="inlineStr">
        <is>
          <t>CA</t>
        </is>
      </c>
      <c r="B331" t="inlineStr">
        <is>
          <t>US</t>
        </is>
      </c>
      <c r="C331" s="7" t="n">
        <v>330</v>
      </c>
      <c r="D331" s="7" t="inlineStr">
        <is>
          <t>LEAP Global Partners</t>
        </is>
      </c>
      <c r="E331" s="7" t="inlineStr">
        <is>
          <t>DEEPTECH</t>
        </is>
      </c>
      <c r="F331" s="9" t="inlineStr">
        <is>
          <t>MAYBE</t>
        </is>
      </c>
      <c r="G331" s="7">
        <f>HYPERLINK("http://www.leapglobalpartners.com", "www.leapglobalpartners.com")</f>
        <v/>
      </c>
      <c r="H331" s="7" t="inlineStr">
        <is>
          <t>AUM: $153.5B | Portfolio: 22 companies</t>
        </is>
      </c>
      <c r="I331" s="7" t="inlineStr">
        <is>
          <t>PitchBook</t>
        </is>
      </c>
    </row>
    <row r="332">
      <c r="A332" s="7" t="inlineStr">
        <is>
          <t>CA</t>
        </is>
      </c>
      <c r="B332" t="inlineStr">
        <is>
          <t>US</t>
        </is>
      </c>
      <c r="C332" s="7" t="n">
        <v>331</v>
      </c>
      <c r="D332" s="7" t="inlineStr">
        <is>
          <t>SparkLabs Group (NAS: SPKL)</t>
        </is>
      </c>
      <c r="E332" s="7" t="inlineStr">
        <is>
          <t>DEEPTECH</t>
        </is>
      </c>
      <c r="F332" s="9" t="inlineStr">
        <is>
          <t>MAYBE</t>
        </is>
      </c>
      <c r="G332" s="7">
        <f>HYPERLINK("http://sparklabsgroup.com", "sparklabsgroup.com")</f>
        <v/>
      </c>
      <c r="H332" s="7" t="inlineStr">
        <is>
          <t>AUM: $153.5B | Portfolio: 346 companies</t>
        </is>
      </c>
      <c r="I332" s="7" t="inlineStr">
        <is>
          <t>PitchBook</t>
        </is>
      </c>
    </row>
    <row r="333">
      <c r="A333" s="7" t="inlineStr">
        <is>
          <t>Poland</t>
        </is>
      </c>
      <c r="B333" t="inlineStr">
        <is>
          <t>EU</t>
        </is>
      </c>
      <c r="C333" s="7" t="n">
        <v>332</v>
      </c>
      <c r="D333" s="7" t="inlineStr">
        <is>
          <t>Inovo VC</t>
        </is>
      </c>
      <c r="E333" s="7" t="inlineStr">
        <is>
          <t>DEEPTECH</t>
        </is>
      </c>
      <c r="F333" s="9" t="inlineStr">
        <is>
          <t>MAYBE</t>
        </is>
      </c>
      <c r="G333" s="7">
        <f>HYPERLINK("http://inovo.vc", "inovo.vc")</f>
        <v/>
      </c>
      <c r="H333" s="7" t="inlineStr">
        <is>
          <t>AUM: $150.0B | Portfolio: 50 companies</t>
        </is>
      </c>
      <c r="I333" s="7" t="inlineStr">
        <is>
          <t>PitchBook</t>
        </is>
      </c>
    </row>
    <row r="334">
      <c r="A334" s="7" t="inlineStr">
        <is>
          <t>United Kingdom</t>
        </is>
      </c>
      <c r="B334" t="inlineStr">
        <is>
          <t>EU</t>
        </is>
      </c>
      <c r="C334" s="7" t="n">
        <v>333</v>
      </c>
      <c r="D334" s="7" t="inlineStr">
        <is>
          <t>LSV Capital Partners</t>
        </is>
      </c>
      <c r="E334" s="7" t="inlineStr">
        <is>
          <t>DEEPTECH</t>
        </is>
      </c>
      <c r="F334" s="9" t="inlineStr">
        <is>
          <t>MAYBE</t>
        </is>
      </c>
      <c r="G334" s="7">
        <f>HYPERLINK("http://www.lsvcapital.com", "www.lsvcapital.com")</f>
        <v/>
      </c>
      <c r="H334" s="7" t="inlineStr">
        <is>
          <t>AUM: $144.9B | Portfolio: 4 companies</t>
        </is>
      </c>
      <c r="I334" s="7" t="inlineStr">
        <is>
          <t>PitchBook</t>
        </is>
      </c>
    </row>
    <row r="335">
      <c r="A335" s="7" t="inlineStr">
        <is>
          <t>Iceland</t>
        </is>
      </c>
      <c r="B335" t="inlineStr">
        <is>
          <t>EU</t>
        </is>
      </c>
      <c r="C335" s="7" t="n">
        <v>334</v>
      </c>
      <c r="D335" s="7" t="inlineStr">
        <is>
          <t>Brunnur Ventures</t>
        </is>
      </c>
      <c r="E335" s="7" t="inlineStr">
        <is>
          <t>DEEPTECH</t>
        </is>
      </c>
      <c r="F335" s="9" t="inlineStr">
        <is>
          <t>MAYBE</t>
        </is>
      </c>
      <c r="G335" s="7">
        <f>HYPERLINK("http://www.brunnurventures.com", "www.brunnurventures.com")</f>
        <v/>
      </c>
      <c r="H335" s="7" t="inlineStr">
        <is>
          <t>AUM: $140.1B | Portfolio: 20 companies</t>
        </is>
      </c>
      <c r="I335" s="7" t="inlineStr">
        <is>
          <t>PitchBook</t>
        </is>
      </c>
    </row>
    <row r="336">
      <c r="A336" s="7" t="inlineStr">
        <is>
          <t>Belgium</t>
        </is>
      </c>
      <c r="B336" t="inlineStr">
        <is>
          <t>EU</t>
        </is>
      </c>
      <c r="C336" s="7" t="n">
        <v>335</v>
      </c>
      <c r="D336" s="7" t="inlineStr">
        <is>
          <t>TCD Capital</t>
        </is>
      </c>
      <c r="E336" s="7" t="inlineStr">
        <is>
          <t>DEEPTECH</t>
        </is>
      </c>
      <c r="F336" s="9" t="inlineStr">
        <is>
          <t>MAYBE</t>
        </is>
      </c>
      <c r="G336" s="7">
        <f>HYPERLINK("http://www.tcd-capital.com", "www.tcd-capital.com")</f>
        <v/>
      </c>
      <c r="H336" s="7" t="inlineStr">
        <is>
          <t>AUM: $135.0B | Portfolio: 15 companies</t>
        </is>
      </c>
      <c r="I336" s="7" t="inlineStr">
        <is>
          <t>PitchBook</t>
        </is>
      </c>
    </row>
    <row r="337">
      <c r="A337" s="7" t="inlineStr">
        <is>
          <t>Chile</t>
        </is>
      </c>
      <c r="B337" t="inlineStr">
        <is>
          <t>Other</t>
        </is>
      </c>
      <c r="C337" s="7" t="n">
        <v>336</v>
      </c>
      <c r="D337" s="7" t="inlineStr">
        <is>
          <t>Genesis Ventures</t>
        </is>
      </c>
      <c r="E337" s="7" t="inlineStr">
        <is>
          <t>DEEPTECH</t>
        </is>
      </c>
      <c r="F337" s="9" t="inlineStr">
        <is>
          <t>MAYBE</t>
        </is>
      </c>
      <c r="G337" s="7">
        <f>HYPERLINK("http://www.genesisventures.vc", "www.genesisventures.vc")</f>
        <v/>
      </c>
      <c r="H337" s="7" t="inlineStr">
        <is>
          <t>AUM: $133.0B | Portfolio: 18 companies</t>
        </is>
      </c>
      <c r="I337" s="7" t="inlineStr">
        <is>
          <t>PitchBook</t>
        </is>
      </c>
    </row>
    <row r="338">
      <c r="A338" s="7" t="inlineStr">
        <is>
          <t>CA</t>
        </is>
      </c>
      <c r="B338" t="inlineStr">
        <is>
          <t>US</t>
        </is>
      </c>
      <c r="C338" s="7" t="n">
        <v>337</v>
      </c>
      <c r="D338" s="7" t="inlineStr">
        <is>
          <t>Mango Capital</t>
        </is>
      </c>
      <c r="E338" s="7" t="inlineStr">
        <is>
          <t>DEEPTECH</t>
        </is>
      </c>
      <c r="F338" s="9" t="inlineStr">
        <is>
          <t>MAYBE</t>
        </is>
      </c>
      <c r="G338" s="7">
        <f>HYPERLINK("http://www.mangocap.com", "www.mangocap.com")</f>
        <v/>
      </c>
      <c r="H338" s="7" t="inlineStr">
        <is>
          <t>AUM: $132.2B | Portfolio: 63 companies</t>
        </is>
      </c>
      <c r="I338" s="7" t="inlineStr">
        <is>
          <t>PitchBook</t>
        </is>
      </c>
    </row>
    <row r="339">
      <c r="A339" s="7" t="inlineStr">
        <is>
          <t>NY</t>
        </is>
      </c>
      <c r="B339" t="inlineStr">
        <is>
          <t>US</t>
        </is>
      </c>
      <c r="C339" s="7" t="n">
        <v>338</v>
      </c>
      <c r="D339" s="7" t="inlineStr">
        <is>
          <t>Quartus Capital Partners</t>
        </is>
      </c>
      <c r="E339" s="7" t="inlineStr">
        <is>
          <t>DEEPTECH</t>
        </is>
      </c>
      <c r="F339" s="9" t="inlineStr">
        <is>
          <t>MAYBE</t>
        </is>
      </c>
      <c r="G339" s="7">
        <f>HYPERLINK("http://www.quartuscap.com", "www.quartuscap.com")</f>
        <v/>
      </c>
      <c r="H339" s="7" t="inlineStr">
        <is>
          <t>AUM: $131.6B | Portfolio: 8 companies</t>
        </is>
      </c>
      <c r="I339" s="7" t="inlineStr">
        <is>
          <t>PitchBook</t>
        </is>
      </c>
    </row>
    <row r="340">
      <c r="A340" s="7" t="inlineStr">
        <is>
          <t>France</t>
        </is>
      </c>
      <c r="B340" t="inlineStr">
        <is>
          <t>EU</t>
        </is>
      </c>
      <c r="C340" s="7" t="n">
        <v>339</v>
      </c>
      <c r="D340" s="7" t="inlineStr">
        <is>
          <t>Wind Capital</t>
        </is>
      </c>
      <c r="E340" s="7" t="inlineStr">
        <is>
          <t>DEEPTECH</t>
        </is>
      </c>
      <c r="F340" s="9" t="inlineStr">
        <is>
          <t>MAYBE</t>
        </is>
      </c>
      <c r="G340" s="7">
        <f>HYPERLINK("http://www.wind.capital", "www.wind.capital")</f>
        <v/>
      </c>
      <c r="H340" s="7" t="inlineStr">
        <is>
          <t>AUM: $130.0B | Portfolio: 55 companies</t>
        </is>
      </c>
      <c r="I340" s="7" t="inlineStr">
        <is>
          <t>PitchBook</t>
        </is>
      </c>
    </row>
    <row r="341">
      <c r="A341" s="7" t="inlineStr">
        <is>
          <t>Netherlands</t>
        </is>
      </c>
      <c r="B341" t="inlineStr">
        <is>
          <t>EU</t>
        </is>
      </c>
      <c r="C341" s="7" t="n">
        <v>340</v>
      </c>
      <c r="D341" s="7" t="inlineStr">
        <is>
          <t>Thuja Capital Management</t>
        </is>
      </c>
      <c r="E341" s="7" t="inlineStr">
        <is>
          <t>DEEPTECH</t>
        </is>
      </c>
      <c r="F341" s="9" t="inlineStr">
        <is>
          <t>MAYBE</t>
        </is>
      </c>
      <c r="G341" s="7">
        <f>HYPERLINK("http://www.thujacapital.com", "www.thujacapital.com")</f>
        <v/>
      </c>
      <c r="H341" s="7" t="inlineStr">
        <is>
          <t>AUM: $129.0B | Portfolio: 19 companies</t>
        </is>
      </c>
      <c r="I341" s="7" t="inlineStr">
        <is>
          <t>PitchBook</t>
        </is>
      </c>
    </row>
    <row r="342">
      <c r="A342" s="7" t="inlineStr">
        <is>
          <t>CA</t>
        </is>
      </c>
      <c r="B342" t="inlineStr">
        <is>
          <t>US</t>
        </is>
      </c>
      <c r="C342" s="7" t="n">
        <v>341</v>
      </c>
      <c r="D342" s="7" t="inlineStr">
        <is>
          <t>FoundersX Ventures</t>
        </is>
      </c>
      <c r="E342" s="7" t="inlineStr">
        <is>
          <t>DEEPTECH</t>
        </is>
      </c>
      <c r="F342" s="9" t="inlineStr">
        <is>
          <t>MAYBE</t>
        </is>
      </c>
      <c r="G342" s="7">
        <f>HYPERLINK("http://www.foundersx.com", "www.foundersx.com")</f>
        <v/>
      </c>
      <c r="H342" s="7" t="inlineStr">
        <is>
          <t>AUM: $127.9B | Portfolio: 78 companies</t>
        </is>
      </c>
      <c r="I342" s="7" t="inlineStr">
        <is>
          <t>PitchBook</t>
        </is>
      </c>
    </row>
    <row r="343">
      <c r="A343" s="7" t="inlineStr">
        <is>
          <t>China</t>
        </is>
      </c>
      <c r="B343" t="inlineStr">
        <is>
          <t>Other</t>
        </is>
      </c>
      <c r="C343" s="7" t="n">
        <v>342</v>
      </c>
      <c r="D343" s="7" t="inlineStr">
        <is>
          <t>Heda Ventures</t>
        </is>
      </c>
      <c r="E343" s="7" t="inlineStr">
        <is>
          <t>DEEPTECH</t>
        </is>
      </c>
      <c r="F343" s="9" t="inlineStr">
        <is>
          <t>MAYBE</t>
        </is>
      </c>
      <c r="G343" s="7">
        <f>HYPERLINK("http://www.hedaventures.com", "www.hedaventures.com")</f>
        <v/>
      </c>
      <c r="H343" s="7" t="inlineStr">
        <is>
          <t>AUM: $127.9B | Portfolio: 76 companies</t>
        </is>
      </c>
      <c r="I343" s="7" t="inlineStr">
        <is>
          <t>PitchBook</t>
        </is>
      </c>
    </row>
    <row r="344">
      <c r="A344" s="7" t="inlineStr">
        <is>
          <t>United Kingdom</t>
        </is>
      </c>
      <c r="B344" t="inlineStr">
        <is>
          <t>EU</t>
        </is>
      </c>
      <c r="C344" s="7" t="n">
        <v>343</v>
      </c>
      <c r="D344" s="7" t="inlineStr">
        <is>
          <t>Ascension</t>
        </is>
      </c>
      <c r="E344" s="7" t="inlineStr">
        <is>
          <t>DEEPTECH</t>
        </is>
      </c>
      <c r="F344" s="9" t="inlineStr">
        <is>
          <t>MAYBE</t>
        </is>
      </c>
      <c r="G344" s="7">
        <f>HYPERLINK("http://www.ascension.vc", "www.ascension.vc")</f>
        <v/>
      </c>
      <c r="H344" s="7" t="inlineStr">
        <is>
          <t>AUM: $126.7B | Portfolio: 166 companies</t>
        </is>
      </c>
      <c r="I344" s="7" t="inlineStr">
        <is>
          <t>PitchBook</t>
        </is>
      </c>
    </row>
    <row r="345">
      <c r="A345" s="7" t="inlineStr">
        <is>
          <t>United Kingdom</t>
        </is>
      </c>
      <c r="B345" t="inlineStr">
        <is>
          <t>EU</t>
        </is>
      </c>
      <c r="C345" s="7" t="n">
        <v>344</v>
      </c>
      <c r="D345" s="7" t="inlineStr">
        <is>
          <t>Air Street Capital</t>
        </is>
      </c>
      <c r="E345" s="7" t="inlineStr">
        <is>
          <t>DEEPTECH</t>
        </is>
      </c>
      <c r="F345" s="9" t="inlineStr">
        <is>
          <t>MAYBE</t>
        </is>
      </c>
      <c r="G345" s="7">
        <f>HYPERLINK("http://www.airstreet.com", "www.airstreet.com")</f>
        <v/>
      </c>
      <c r="H345" s="7" t="inlineStr">
        <is>
          <t>AUM: $125.3B | Portfolio: 30 companies</t>
        </is>
      </c>
      <c r="I345" s="7" t="inlineStr">
        <is>
          <t>PitchBook</t>
        </is>
      </c>
    </row>
    <row r="346">
      <c r="A346" s="7" t="inlineStr">
        <is>
          <t>Canada</t>
        </is>
      </c>
      <c r="B346" t="inlineStr">
        <is>
          <t>Other</t>
        </is>
      </c>
      <c r="C346" s="7" t="n">
        <v>345</v>
      </c>
      <c r="D346" s="7" t="inlineStr">
        <is>
          <t>iGan Partners</t>
        </is>
      </c>
      <c r="E346" s="7" t="inlineStr">
        <is>
          <t>DEEPTECH</t>
        </is>
      </c>
      <c r="F346" s="9" t="inlineStr">
        <is>
          <t>MAYBE</t>
        </is>
      </c>
      <c r="G346" s="7">
        <f>HYPERLINK("http://www.iganpartners.com", "www.iganpartners.com")</f>
        <v/>
      </c>
      <c r="H346" s="7" t="inlineStr">
        <is>
          <t>AUM: $124.4B | Portfolio: 20 companies</t>
        </is>
      </c>
      <c r="I346" s="7" t="inlineStr">
        <is>
          <t>PitchBook</t>
        </is>
      </c>
    </row>
    <row r="347">
      <c r="A347" s="7" t="inlineStr">
        <is>
          <t>NY</t>
        </is>
      </c>
      <c r="B347" t="inlineStr">
        <is>
          <t>US</t>
        </is>
      </c>
      <c r="C347" s="7" t="n">
        <v>346</v>
      </c>
      <c r="D347" s="7" t="inlineStr">
        <is>
          <t>Contour Venture Partners</t>
        </is>
      </c>
      <c r="E347" s="7" t="inlineStr">
        <is>
          <t>DEEPTECH</t>
        </is>
      </c>
      <c r="F347" s="9" t="inlineStr">
        <is>
          <t>MAYBE</t>
        </is>
      </c>
      <c r="G347" s="7">
        <f>HYPERLINK("http://www.contourventures.com", "www.contourventures.com")</f>
        <v/>
      </c>
      <c r="H347" s="7" t="inlineStr">
        <is>
          <t>AUM: $123.6B | Portfolio: 70 companies</t>
        </is>
      </c>
      <c r="I347" s="7" t="inlineStr">
        <is>
          <t>PitchBook</t>
        </is>
      </c>
    </row>
    <row r="348">
      <c r="A348" s="7" t="inlineStr">
        <is>
          <t>NY</t>
        </is>
      </c>
      <c r="B348" t="inlineStr">
        <is>
          <t>US</t>
        </is>
      </c>
      <c r="C348" s="7" t="n">
        <v>347</v>
      </c>
      <c r="D348" s="7" t="inlineStr">
        <is>
          <t>Rho Acceleration</t>
        </is>
      </c>
      <c r="E348" s="7" t="inlineStr">
        <is>
          <t>DEEPTECH</t>
        </is>
      </c>
      <c r="F348" s="9" t="inlineStr">
        <is>
          <t>MAYBE</t>
        </is>
      </c>
      <c r="G348" s="7">
        <f>HYPERLINK("http://www.rhoacceleration.com", "www.rhoacceleration.com")</f>
        <v/>
      </c>
      <c r="H348" s="7" t="inlineStr">
        <is>
          <t>AUM: $122.8B | Portfolio: 24 companies</t>
        </is>
      </c>
      <c r="I348" s="7" t="inlineStr">
        <is>
          <t>PitchBook</t>
        </is>
      </c>
    </row>
    <row r="349">
      <c r="A349" s="7" t="inlineStr">
        <is>
          <t>Czech Republic</t>
        </is>
      </c>
      <c r="B349" t="inlineStr">
        <is>
          <t>EU</t>
        </is>
      </c>
      <c r="C349" s="7" t="n">
        <v>348</v>
      </c>
      <c r="D349" s="7" t="inlineStr">
        <is>
          <t>J&amp;T Ventures</t>
        </is>
      </c>
      <c r="E349" s="7" t="inlineStr">
        <is>
          <t>DEEPTECH</t>
        </is>
      </c>
      <c r="F349" s="9" t="inlineStr">
        <is>
          <t>MAYBE</t>
        </is>
      </c>
      <c r="G349" s="7">
        <f>HYPERLINK("http://www.jtventures.cz", "www.jtventures.cz")</f>
        <v/>
      </c>
      <c r="H349" s="7" t="inlineStr">
        <is>
          <t>AUM: $120.0B | Portfolio: 26 companies</t>
        </is>
      </c>
      <c r="I349" s="7" t="inlineStr">
        <is>
          <t>PitchBook</t>
        </is>
      </c>
    </row>
    <row r="350">
      <c r="A350" s="7" t="inlineStr">
        <is>
          <t>CA</t>
        </is>
      </c>
      <c r="B350" t="inlineStr">
        <is>
          <t>US</t>
        </is>
      </c>
      <c r="C350" s="7" t="n">
        <v>349</v>
      </c>
      <c r="D350" s="7" t="inlineStr">
        <is>
          <t>Amplify.LA</t>
        </is>
      </c>
      <c r="E350" s="7" t="inlineStr">
        <is>
          <t>DEEPTECH</t>
        </is>
      </c>
      <c r="F350" s="9" t="inlineStr">
        <is>
          <t>MAYBE</t>
        </is>
      </c>
      <c r="G350" s="7">
        <f>HYPERLINK("http://amplify.la", "amplify.la")</f>
        <v/>
      </c>
      <c r="H350" s="7" t="inlineStr">
        <is>
          <t>AUM: $119.4B | Portfolio: 66 companies</t>
        </is>
      </c>
      <c r="I350" s="7" t="inlineStr">
        <is>
          <t>PitchBook</t>
        </is>
      </c>
    </row>
    <row r="351">
      <c r="A351" s="7" t="inlineStr">
        <is>
          <t>OH</t>
        </is>
      </c>
      <c r="B351" t="inlineStr">
        <is>
          <t>US</t>
        </is>
      </c>
      <c r="C351" s="7" t="n">
        <v>350</v>
      </c>
      <c r="D351" s="7" t="inlineStr">
        <is>
          <t>Jumpstart Ventures</t>
        </is>
      </c>
      <c r="E351" s="7" t="inlineStr">
        <is>
          <t>DEEPTECH</t>
        </is>
      </c>
      <c r="F351" s="9" t="inlineStr">
        <is>
          <t>MAYBE</t>
        </is>
      </c>
      <c r="G351" s="7">
        <f>HYPERLINK("http://www.jumpstart.vc", "www.jumpstart.vc")</f>
        <v/>
      </c>
      <c r="H351" s="7" t="inlineStr">
        <is>
          <t>AUM: $119.4B | Portfolio: 130 companies</t>
        </is>
      </c>
      <c r="I351" s="7" t="inlineStr">
        <is>
          <t>PitchBook</t>
        </is>
      </c>
    </row>
    <row r="352">
      <c r="A352" t="inlineStr">
        <is>
          <t>NL</t>
        </is>
      </c>
      <c r="B352" t="inlineStr">
        <is>
          <t>EU</t>
        </is>
      </c>
      <c r="C352" t="inlineStr"/>
      <c r="D352" t="inlineStr">
        <is>
          <t>SET Ventures</t>
        </is>
      </c>
      <c r="E352" t="inlineStr">
        <is>
          <t>digital energy/grid/storage</t>
        </is>
      </c>
      <c r="F352" t="inlineStr">
        <is>
          <t>High</t>
        </is>
      </c>
      <c r="G352" t="inlineStr">
        <is>
          <t>https://setventures.com/portfolio/</t>
        </is>
      </c>
      <c r="H352" t="inlineStr">
        <is>
          <t>Amsterdam carbon-free energy specialist</t>
        </is>
      </c>
      <c r="I352" t="inlineStr">
        <is>
          <t>agent-verified 2026-06</t>
        </is>
      </c>
    </row>
    <row r="353">
      <c r="A353" t="inlineStr">
        <is>
          <t>NL</t>
        </is>
      </c>
      <c r="B353" t="inlineStr">
        <is>
          <t>EU</t>
        </is>
      </c>
      <c r="C353" t="inlineStr"/>
      <c r="D353" t="inlineStr">
        <is>
          <t>Forbion BioEconomy</t>
        </is>
      </c>
      <c r="E353" t="inlineStr">
        <is>
          <t>industrial biotech/food/materials/agri</t>
        </is>
      </c>
      <c r="F353" t="inlineStr">
        <is>
          <t>High</t>
        </is>
      </c>
      <c r="G353" t="inlineStr">
        <is>
          <t>https://forbion.com/portfolio/bioeconomy/</t>
        </is>
      </c>
      <c r="H353" t="inlineStr">
        <is>
          <t>Dedicated bioeconomy fund, Naarden</t>
        </is>
      </c>
      <c r="I353" t="inlineStr">
        <is>
          <t>agent-verified 2026-06</t>
        </is>
      </c>
    </row>
    <row r="354">
      <c r="A354" t="inlineStr">
        <is>
          <t>NL</t>
        </is>
      </c>
      <c r="B354" t="inlineStr">
        <is>
          <t>EU</t>
        </is>
      </c>
      <c r="C354" t="inlineStr"/>
      <c r="D354" t="inlineStr">
        <is>
          <t>DSM-Firmenich Venturing</t>
        </is>
      </c>
      <c r="E354" t="inlineStr">
        <is>
          <t>nutrition/food/health/ingredients</t>
        </is>
      </c>
      <c r="F354" t="inlineStr">
        <is>
          <t>High</t>
        </is>
      </c>
      <c r="G354" t="inlineStr">
        <is>
          <t>https://our-company.dsm-firmenich.com/en/our-company/ventures/portfolio.html</t>
        </is>
      </c>
      <c r="H354" t="inlineStr">
        <is>
          <t>CVC arm, Heerlen</t>
        </is>
      </c>
      <c r="I354" t="inlineStr">
        <is>
          <t>agent-verified 2026-06</t>
        </is>
      </c>
    </row>
    <row r="355">
      <c r="A355" t="inlineStr">
        <is>
          <t>NL</t>
        </is>
      </c>
      <c r="B355" t="inlineStr">
        <is>
          <t>EU</t>
        </is>
      </c>
      <c r="C355" t="inlineStr"/>
      <c r="D355" t="inlineStr">
        <is>
          <t>Navus Ventures</t>
        </is>
      </c>
      <c r="E355" t="inlineStr">
        <is>
          <t>food tech/energy/agtech</t>
        </is>
      </c>
      <c r="F355" t="inlineStr">
        <is>
          <t>Med</t>
        </is>
      </c>
      <c r="G355" t="inlineStr">
        <is>
          <t>https://navusholding.com/investments</t>
        </is>
      </c>
      <c r="H355" t="inlineStr">
        <is>
          <t>Family-owned, Maassluis</t>
        </is>
      </c>
      <c r="I355" t="inlineStr">
        <is>
          <t>agent-verified 2026-06</t>
        </is>
      </c>
    </row>
    <row r="356">
      <c r="A356" t="inlineStr">
        <is>
          <t>NL</t>
        </is>
      </c>
      <c r="B356" t="inlineStr">
        <is>
          <t>EU</t>
        </is>
      </c>
      <c r="C356" t="inlineStr"/>
      <c r="D356" t="inlineStr">
        <is>
          <t>EIT InnoEnergy</t>
        </is>
      </c>
      <c r="E356" t="inlineStr">
        <is>
          <t>clean energy/industry/battery value chain</t>
        </is>
      </c>
      <c r="F356" t="inlineStr">
        <is>
          <t>High</t>
        </is>
      </c>
      <c r="G356" t="inlineStr">
        <is>
          <t>https://www.innoenergy.com/for-innovators/portfolio/</t>
        </is>
      </c>
      <c r="H356" t="inlineStr">
        <is>
          <t>Industrialising cleantech, Eindhoven</t>
        </is>
      </c>
      <c r="I356" t="inlineStr">
        <is>
          <t>agent-verified 2026-06</t>
        </is>
      </c>
    </row>
    <row r="357">
      <c r="A357" t="inlineStr">
        <is>
          <t>BE</t>
        </is>
      </c>
      <c r="B357" t="inlineStr">
        <is>
          <t>EU</t>
        </is>
      </c>
      <c r="C357" t="inlineStr"/>
      <c r="D357" t="inlineStr">
        <is>
          <t>Astanor</t>
        </is>
      </c>
      <c r="E357" t="inlineStr">
        <is>
          <t>agrifood/foodtech/regenerative ag</t>
        </is>
      </c>
      <c r="F357" t="inlineStr">
        <is>
          <t>High</t>
        </is>
      </c>
      <c r="G357" t="inlineStr">
        <is>
          <t>https://astanor.com/portfolio/</t>
        </is>
      </c>
      <c r="H357" t="inlineStr">
        <is>
          <t>Soil-to-gut agrifood impact, Brussels</t>
        </is>
      </c>
      <c r="I357" t="inlineStr">
        <is>
          <t>agent-verified 2026-06</t>
        </is>
      </c>
    </row>
    <row r="358">
      <c r="A358" t="inlineStr">
        <is>
          <t>BE</t>
        </is>
      </c>
      <c r="B358" t="inlineStr">
        <is>
          <t>EU</t>
        </is>
      </c>
      <c r="C358" t="inlineStr"/>
      <c r="D358" t="inlineStr">
        <is>
          <t>Qbic Fund</t>
        </is>
      </c>
      <c r="E358" t="inlineStr">
        <is>
          <t>deep tech/biotech/materials spinoffs</t>
        </is>
      </c>
      <c r="F358" t="inlineStr">
        <is>
          <t>Med</t>
        </is>
      </c>
      <c r="G358" t="inlineStr">
        <is>
          <t>https://qbic.be/portfolio</t>
        </is>
      </c>
      <c r="H358" t="inlineStr">
        <is>
          <t>University spinoff seed fund</t>
        </is>
      </c>
      <c r="I358" t="inlineStr">
        <is>
          <t>agent-verified 2026-06</t>
        </is>
      </c>
    </row>
    <row r="359">
      <c r="A359" t="inlineStr">
        <is>
          <t>SE</t>
        </is>
      </c>
      <c r="B359" t="inlineStr">
        <is>
          <t>EU</t>
        </is>
      </c>
      <c r="C359" t="inlineStr"/>
      <c r="D359" t="inlineStr">
        <is>
          <t>Norrsken VC</t>
        </is>
      </c>
      <c r="E359" t="inlineStr">
        <is>
          <t>climate/impact/industry/energy</t>
        </is>
      </c>
      <c r="F359" t="inlineStr">
        <is>
          <t>High</t>
        </is>
      </c>
      <c r="G359" t="inlineStr">
        <is>
          <t>https://www.norrsken.vc/portfolio</t>
        </is>
      </c>
      <c r="H359" t="inlineStr">
        <is>
          <t>Leading European impact VC, Stockholm</t>
        </is>
      </c>
      <c r="I359" t="inlineStr">
        <is>
          <t>agent-verified 2026-06</t>
        </is>
      </c>
    </row>
    <row r="360">
      <c r="A360" t="inlineStr">
        <is>
          <t>SE</t>
        </is>
      </c>
      <c r="B360" t="inlineStr">
        <is>
          <t>EU</t>
        </is>
      </c>
      <c r="C360" t="inlineStr"/>
      <c r="D360" t="inlineStr">
        <is>
          <t>Pale Blue Dot</t>
        </is>
      </c>
      <c r="E360" t="inlineStr">
        <is>
          <t>climate/materials/food/energy</t>
        </is>
      </c>
      <c r="F360" t="inlineStr">
        <is>
          <t>High</t>
        </is>
      </c>
      <c r="G360" t="inlineStr">
        <is>
          <t>https://paleblue.vc/portfolio</t>
        </is>
      </c>
      <c r="H360" t="inlineStr">
        <is>
          <t>Early-stage climate, Malmö</t>
        </is>
      </c>
      <c r="I360" t="inlineStr">
        <is>
          <t>agent-verified 2026-06</t>
        </is>
      </c>
    </row>
    <row r="361">
      <c r="A361" t="inlineStr">
        <is>
          <t>SE</t>
        </is>
      </c>
      <c r="B361" t="inlineStr">
        <is>
          <t>EU</t>
        </is>
      </c>
      <c r="C361" t="inlineStr"/>
      <c r="D361" t="inlineStr">
        <is>
          <t>Industrifonden</t>
        </is>
      </c>
      <c r="E361" t="inlineStr">
        <is>
          <t>deep tech/advanced materials/synbio/energy</t>
        </is>
      </c>
      <c r="F361" t="inlineStr">
        <is>
          <t>High</t>
        </is>
      </c>
      <c r="G361" t="inlineStr">
        <is>
          <t>https://industrifonden.com/portfolio/</t>
        </is>
      </c>
      <c r="H361" t="inlineStr">
        <is>
          <t>Sweden's national deep-tech VC</t>
        </is>
      </c>
      <c r="I361" t="inlineStr">
        <is>
          <t>agent-verified 2026-06</t>
        </is>
      </c>
    </row>
    <row r="362">
      <c r="A362" t="inlineStr">
        <is>
          <t>SE</t>
        </is>
      </c>
      <c r="B362" t="inlineStr">
        <is>
          <t>EU</t>
        </is>
      </c>
      <c r="C362" t="inlineStr"/>
      <c r="D362" t="inlineStr">
        <is>
          <t>EQT Ventures</t>
        </is>
      </c>
      <c r="E362" t="inlineStr">
        <is>
          <t>tech/SaaS/deep tech</t>
        </is>
      </c>
      <c r="F362" t="inlineStr">
        <is>
          <t>Med</t>
        </is>
      </c>
      <c r="G362" t="inlineStr">
        <is>
          <t>https://eqtgroup.com/about/current-portfolio</t>
        </is>
      </c>
      <c r="H362" t="inlineStr">
        <is>
          <t>Large pan-European, Stockholm</t>
        </is>
      </c>
      <c r="I362" t="inlineStr">
        <is>
          <t>agent-verified 2026-06</t>
        </is>
      </c>
    </row>
    <row r="363">
      <c r="A363" t="inlineStr">
        <is>
          <t>DK</t>
        </is>
      </c>
      <c r="B363" t="inlineStr">
        <is>
          <t>EU</t>
        </is>
      </c>
      <c r="C363" t="inlineStr"/>
      <c r="D363" t="inlineStr">
        <is>
          <t>Climentum Capital</t>
        </is>
      </c>
      <c r="E363" t="inlineStr">
        <is>
          <t>industrial decarbonization/cleantech/materials</t>
        </is>
      </c>
      <c r="F363" t="inlineStr">
        <is>
          <t>High</t>
        </is>
      </c>
      <c r="G363" t="inlineStr">
        <is>
          <t>https://climentum.com/portfolio</t>
        </is>
      </c>
      <c r="H363" t="inlineStr">
        <is>
          <t>Nordics+DACH re-industrialization, Copenhagen</t>
        </is>
      </c>
      <c r="I363" t="inlineStr">
        <is>
          <t>agent-verified 2026-06</t>
        </is>
      </c>
    </row>
    <row r="364">
      <c r="A364" t="inlineStr">
        <is>
          <t>FI</t>
        </is>
      </c>
      <c r="B364" t="inlineStr">
        <is>
          <t>EU</t>
        </is>
      </c>
      <c r="C364" t="inlineStr"/>
      <c r="D364" t="inlineStr">
        <is>
          <t>Voima Ventures</t>
        </is>
      </c>
      <c r="E364" t="inlineStr">
        <is>
          <t>deep tech/materials/industrial biotech</t>
        </is>
      </c>
      <c r="F364" t="inlineStr">
        <is>
          <t>High</t>
        </is>
      </c>
      <c r="G364" t="inlineStr">
        <is>
          <t>https://voimaventures.com/portfolio/</t>
        </is>
      </c>
      <c r="H364" t="inlineStr">
        <is>
          <t>Science spinouts, Nordic+Baltic, Helsinki</t>
        </is>
      </c>
      <c r="I364" t="inlineStr">
        <is>
          <t>agent-verified 2026-06</t>
        </is>
      </c>
    </row>
    <row r="365">
      <c r="A365" t="inlineStr">
        <is>
          <t>FI</t>
        </is>
      </c>
      <c r="B365" t="inlineStr">
        <is>
          <t>EU</t>
        </is>
      </c>
      <c r="C365" t="inlineStr"/>
      <c r="D365" t="inlineStr">
        <is>
          <t>Nordic Foodtech VC</t>
        </is>
      </c>
      <c r="E365" t="inlineStr">
        <is>
          <t>food/nutrition tech/fermentation/agri</t>
        </is>
      </c>
      <c r="F365" t="inlineStr">
        <is>
          <t>High</t>
        </is>
      </c>
      <c r="G365" t="inlineStr">
        <is>
          <t>https://nft.vc/#portfolio</t>
        </is>
      </c>
      <c r="H365" t="inlineStr">
        <is>
          <t>First Nordic foodtech VC, Helsinki</t>
        </is>
      </c>
      <c r="I365" t="inlineStr">
        <is>
          <t>agent-verified 2026-06</t>
        </is>
      </c>
    </row>
    <row r="366">
      <c r="A366" t="inlineStr">
        <is>
          <t>NO</t>
        </is>
      </c>
      <c r="B366" t="inlineStr">
        <is>
          <t>EU</t>
        </is>
      </c>
      <c r="C366" t="inlineStr"/>
      <c r="D366" t="inlineStr">
        <is>
          <t>Nysnø Climate Investments</t>
        </is>
      </c>
      <c r="E366" t="inlineStr">
        <is>
          <t>clean energy/industry/circular/resource efficiency</t>
        </is>
      </c>
      <c r="F366" t="inlineStr">
        <is>
          <t>High</t>
        </is>
      </c>
      <c r="G366" t="inlineStr">
        <is>
          <t>https://nysnoinvest.no/en/portfolio/</t>
        </is>
      </c>
      <c r="H366" t="inlineStr">
        <is>
          <t>State-owned climate investor</t>
        </is>
      </c>
      <c r="I366" t="inlineStr">
        <is>
          <t>agent-verified 2026-06</t>
        </is>
      </c>
    </row>
    <row r="367">
      <c r="A367" t="inlineStr">
        <is>
          <t>LT</t>
        </is>
      </c>
      <c r="B367" t="inlineStr">
        <is>
          <t>EU</t>
        </is>
      </c>
      <c r="C367" t="inlineStr"/>
      <c r="D367" t="inlineStr">
        <is>
          <t>Contrarian Ventures</t>
        </is>
      </c>
      <c r="E367" t="inlineStr">
        <is>
          <t>climate/energy/industry/decarbonization</t>
        </is>
      </c>
      <c r="F367" t="inlineStr">
        <is>
          <t>High</t>
        </is>
      </c>
      <c r="G367" t="inlineStr">
        <is>
          <t>https://www.cventures.vc/founders/</t>
        </is>
      </c>
      <c r="H367" t="inlineStr">
        <is>
          <t>Pan-European climate seed, Vilnius</t>
        </is>
      </c>
      <c r="I367" t="inlineStr">
        <is>
          <t>agent-verified 2026-06</t>
        </is>
      </c>
    </row>
    <row r="368">
      <c r="A368" t="inlineStr">
        <is>
          <t>CZ</t>
        </is>
      </c>
      <c r="B368" t="inlineStr">
        <is>
          <t>EU</t>
        </is>
      </c>
      <c r="C368" t="inlineStr"/>
      <c r="D368" t="inlineStr">
        <is>
          <t>Inven Capital</t>
        </is>
      </c>
      <c r="E368" t="inlineStr">
        <is>
          <t>climate/energy/industrial/decarbonization</t>
        </is>
      </c>
      <c r="F368" t="inlineStr">
        <is>
          <t>High</t>
        </is>
      </c>
      <c r="G368" t="inlineStr">
        <is>
          <t>https://www.invencapital.cz/</t>
        </is>
      </c>
      <c r="H368" t="inlineStr">
        <is>
          <t>CEZ-backed cleantech, Prague</t>
        </is>
      </c>
      <c r="I368" t="inlineStr">
        <is>
          <t>agent-verified 2026-06</t>
        </is>
      </c>
    </row>
    <row r="369">
      <c r="A369" t="inlineStr">
        <is>
          <t>CH</t>
        </is>
      </c>
      <c r="B369" t="inlineStr">
        <is>
          <t>EU</t>
        </is>
      </c>
      <c r="C369" t="inlineStr"/>
      <c r="D369" t="inlineStr">
        <is>
          <t>Übermorgen Ventures</t>
        </is>
      </c>
      <c r="E369" t="inlineStr">
        <is>
          <t>climate/decarbonization/carbon removal/materials</t>
        </is>
      </c>
      <c r="F369" t="inlineStr">
        <is>
          <t>High</t>
        </is>
      </c>
      <c r="G369" t="inlineStr">
        <is>
          <t>https://www.uebermorgen.vc/portfolio</t>
        </is>
      </c>
      <c r="H369" t="inlineStr">
        <is>
          <t>DACH climate, pre-seed/seed, Zurich</t>
        </is>
      </c>
      <c r="I369" t="inlineStr">
        <is>
          <t>agent-verified 2026-06</t>
        </is>
      </c>
    </row>
    <row r="370">
      <c r="A370" t="inlineStr">
        <is>
          <t>AT</t>
        </is>
      </c>
      <c r="B370" t="inlineStr">
        <is>
          <t>EU</t>
        </is>
      </c>
      <c r="C370" t="inlineStr"/>
      <c r="D370" t="inlineStr">
        <is>
          <t>Speedinvest</t>
        </is>
      </c>
      <c r="E370" t="inlineStr">
        <is>
          <t>industrial tech/climate/energy/manufacturing</t>
        </is>
      </c>
      <c r="F370" t="inlineStr">
        <is>
          <t>High</t>
        </is>
      </c>
      <c r="G370" t="inlineStr">
        <is>
          <t>https://www.speedinvest.com/portfolio</t>
        </is>
      </c>
      <c r="H370" t="inlineStr">
        <is>
          <t>Climate &amp; Industry fund, Vienna</t>
        </is>
      </c>
      <c r="I370" t="inlineStr">
        <is>
          <t>agent-verified 2026-06</t>
        </is>
      </c>
    </row>
    <row r="371">
      <c r="A371" t="inlineStr">
        <is>
          <t>ES</t>
        </is>
      </c>
      <c r="B371" t="inlineStr">
        <is>
          <t>EU</t>
        </is>
      </c>
      <c r="C371" t="inlineStr"/>
      <c r="D371" t="inlineStr">
        <is>
          <t>Seaya (Andromeda)</t>
        </is>
      </c>
      <c r="E371" t="inlineStr">
        <is>
          <t>climate/energy transition/sustainable food/circular</t>
        </is>
      </c>
      <c r="F371" t="inlineStr">
        <is>
          <t>High</t>
        </is>
      </c>
      <c r="G371" t="inlineStr">
        <is>
          <t>https://seaya.vc/portfolio/</t>
        </is>
      </c>
      <c r="H371" t="inlineStr">
        <is>
          <t>Spain's largest VC, climate growth fund, Madrid</t>
        </is>
      </c>
      <c r="I371" t="inlineStr">
        <is>
          <t>agent-verified 2026-06</t>
        </is>
      </c>
    </row>
    <row r="372">
      <c r="A372" t="inlineStr">
        <is>
          <t>PT</t>
        </is>
      </c>
      <c r="B372" t="inlineStr">
        <is>
          <t>EU</t>
        </is>
      </c>
      <c r="C372" t="inlineStr"/>
      <c r="D372" t="inlineStr">
        <is>
          <t>Faber</t>
        </is>
      </c>
      <c r="E372" t="inlineStr">
        <is>
          <t>climate/ocean tech/deep tech</t>
        </is>
      </c>
      <c r="F372" t="inlineStr">
        <is>
          <t>High</t>
        </is>
      </c>
      <c r="G372" t="inlineStr">
        <is>
          <t>https://faber.vc/portfolio/</t>
        </is>
      </c>
      <c r="H372" t="inlineStr">
        <is>
          <t>Iberia blue economy + climate deep tech, Lisbon</t>
        </is>
      </c>
      <c r="I372" t="inlineStr">
        <is>
          <t>agent-verified 2026-06</t>
        </is>
      </c>
    </row>
    <row r="373">
      <c r="A373" t="inlineStr">
        <is>
          <t>PT</t>
        </is>
      </c>
      <c r="B373" t="inlineStr">
        <is>
          <t>EU</t>
        </is>
      </c>
      <c r="C373" t="inlineStr"/>
      <c r="D373" t="inlineStr">
        <is>
          <t>Indico Capital Partners</t>
        </is>
      </c>
      <c r="E373" t="inlineStr">
        <is>
          <t>deep tech/oceantech/climate</t>
        </is>
      </c>
      <c r="F373" t="inlineStr">
        <is>
          <t>Med</t>
        </is>
      </c>
      <c r="G373" t="inlineStr">
        <is>
          <t>https://www.indicocapital.com/our-companies</t>
        </is>
      </c>
      <c r="H373" t="inlineStr">
        <is>
          <t>Leading Portuguese VC + Blue Fund, Lisbon</t>
        </is>
      </c>
      <c r="I373" t="inlineStr">
        <is>
          <t>agent-verified 2026-06</t>
        </is>
      </c>
    </row>
    <row r="374">
      <c r="A374" t="inlineStr">
        <is>
          <t>IT</t>
        </is>
      </c>
      <c r="B374" t="inlineStr">
        <is>
          <t>EU</t>
        </is>
      </c>
      <c r="C374" t="inlineStr"/>
      <c r="D374" t="inlineStr">
        <is>
          <t>United Ventures</t>
        </is>
      </c>
      <c r="E374" t="inlineStr">
        <is>
          <t>software/deep tech/enterprise</t>
        </is>
      </c>
      <c r="F374" t="inlineStr">
        <is>
          <t>Med</t>
        </is>
      </c>
      <c r="G374" t="inlineStr">
        <is>
          <t>https://unitedventures.com/portfolio/</t>
        </is>
      </c>
      <c r="H374" t="inlineStr">
        <is>
          <t>Milan tech VC</t>
        </is>
      </c>
      <c r="I374" t="inlineStr">
        <is>
          <t>agent-verified 2026-06</t>
        </is>
      </c>
    </row>
    <row r="375">
      <c r="A375" t="inlineStr">
        <is>
          <t>DE</t>
        </is>
      </c>
      <c r="B375" t="inlineStr">
        <is>
          <t>EU</t>
        </is>
      </c>
      <c r="C375" t="inlineStr"/>
      <c r="D375" t="inlineStr">
        <is>
          <t>BASF Venture Capital</t>
        </is>
      </c>
      <c r="E375" t="inlineStr">
        <is>
          <t>specialty chemicals/materials/circular/decarbonization</t>
        </is>
      </c>
      <c r="F375" t="inlineStr">
        <is>
          <t>High</t>
        </is>
      </c>
      <c r="G375" t="inlineStr">
        <is>
          <t>https://www.basf.com/global/en/who-we-are/organization/group-companies/BASF_Venture-Capital/portfolio</t>
        </is>
      </c>
      <c r="H375" t="inlineStr">
        <is>
          <t>Chemicals CVC, Ludwigshafen</t>
        </is>
      </c>
      <c r="I375" t="inlineStr">
        <is>
          <t>agent-verified 2026-06</t>
        </is>
      </c>
    </row>
    <row r="376">
      <c r="A376" t="inlineStr">
        <is>
          <t>DE</t>
        </is>
      </c>
      <c r="B376" t="inlineStr">
        <is>
          <t>EU</t>
        </is>
      </c>
      <c r="C376" t="inlineStr"/>
      <c r="D376" t="inlineStr">
        <is>
          <t>Henkel Tech Ventures</t>
        </is>
      </c>
      <c r="E376" t="inlineStr">
        <is>
          <t>materials/adhesives/sustainability/recycling</t>
        </is>
      </c>
      <c r="F376" t="inlineStr">
        <is>
          <t>Med</t>
        </is>
      </c>
      <c r="G376" t="inlineStr">
        <is>
          <t>https://www.henkel-tech.ventures/portfolio</t>
        </is>
      </c>
      <c r="H376" t="inlineStr">
        <is>
          <t>Adhesives+materials CVC, Düsseldorf</t>
        </is>
      </c>
      <c r="I376" t="inlineStr">
        <is>
          <t>agent-verified 2026-06</t>
        </is>
      </c>
    </row>
    <row r="377">
      <c r="A377" t="inlineStr">
        <is>
          <t>Japan</t>
        </is>
      </c>
      <c r="B377" t="inlineStr">
        <is>
          <t>JP</t>
        </is>
      </c>
      <c r="C377" t="inlineStr"/>
      <c r="D377" t="inlineStr">
        <is>
          <t>Universal Materials Incubator (UMI)</t>
        </is>
      </c>
      <c r="E377" t="inlineStr">
        <is>
          <t>Specialty chemicals, advanced materials, industrial biotech</t>
        </is>
      </c>
      <c r="F377" t="inlineStr">
        <is>
          <t>High</t>
        </is>
      </c>
      <c r="G377" t="inlineStr">
        <is>
          <t>https://www.umi.co.jp/en/portfolio/</t>
        </is>
      </c>
      <c r="H377" t="inlineStr">
        <is>
          <t>Materials/chem specialist VC</t>
        </is>
      </c>
      <c r="I377" t="inlineStr">
        <is>
          <t>agent-verified 2026-06</t>
        </is>
      </c>
    </row>
    <row r="378">
      <c r="A378" t="inlineStr">
        <is>
          <t>Japan</t>
        </is>
      </c>
      <c r="B378" t="inlineStr">
        <is>
          <t>JP</t>
        </is>
      </c>
      <c r="C378" t="inlineStr"/>
      <c r="D378" t="inlineStr">
        <is>
          <t>UMI Growth Capital</t>
        </is>
      </c>
      <c r="E378" t="inlineStr">
        <is>
          <t>Specialty chemicals, advanced materials, growth</t>
        </is>
      </c>
      <c r="F378" t="inlineStr">
        <is>
          <t>High</t>
        </is>
      </c>
      <c r="G378" t="inlineStr">
        <is>
          <t>https://umi-gc.co.jp/en/</t>
        </is>
      </c>
      <c r="H378" t="inlineStr">
        <is>
          <t>UMI growth-stage arm, materials</t>
        </is>
      </c>
      <c r="I378" t="inlineStr">
        <is>
          <t>agent-verified 2026-06</t>
        </is>
      </c>
    </row>
    <row r="379">
      <c r="A379" t="inlineStr">
        <is>
          <t>Japan</t>
        </is>
      </c>
      <c r="B379" t="inlineStr">
        <is>
          <t>JP</t>
        </is>
      </c>
      <c r="C379" t="inlineStr"/>
      <c r="D379" t="inlineStr">
        <is>
          <t>JAFCO Group</t>
        </is>
      </c>
      <c r="E379" t="inlineStr">
        <is>
          <t>Industrial AI, materials, food, broad</t>
        </is>
      </c>
      <c r="F379" t="inlineStr">
        <is>
          <t>Med</t>
        </is>
      </c>
      <c r="G379" t="inlineStr">
        <is>
          <t>https://www.jafco.co.jp/english/portfolio/</t>
        </is>
      </c>
      <c r="H379" t="inlineStr">
        <is>
          <t>Largest/oldest Japan VC, early-growth</t>
        </is>
      </c>
      <c r="I379" t="inlineStr">
        <is>
          <t>agent-verified 2026-06</t>
        </is>
      </c>
    </row>
    <row r="380">
      <c r="A380" t="inlineStr">
        <is>
          <t>Japan</t>
        </is>
      </c>
      <c r="B380" t="inlineStr">
        <is>
          <t>JP</t>
        </is>
      </c>
      <c r="C380" t="inlineStr"/>
      <c r="D380" t="inlineStr">
        <is>
          <t>UntroD Capital (Real Tech Holdings / Leave a Nest)</t>
        </is>
      </c>
      <c r="E380" t="inlineStr">
        <is>
          <t>Industrial biotech, materials, climate, deep tech</t>
        </is>
      </c>
      <c r="F380" t="inlineStr">
        <is>
          <t>High</t>
        </is>
      </c>
      <c r="G380" t="inlineStr">
        <is>
          <t>https://untrod.inc/en/portfolio/</t>
        </is>
      </c>
      <c r="H380" t="inlineStr">
        <is>
          <t>Deep-tech/Real Tech Fund, Euglena+Leave a Nest</t>
        </is>
      </c>
      <c r="I380" t="inlineStr">
        <is>
          <t>agent-verified 2026-06</t>
        </is>
      </c>
    </row>
    <row r="381">
      <c r="A381" t="inlineStr">
        <is>
          <t>Japan</t>
        </is>
      </c>
      <c r="B381" t="inlineStr">
        <is>
          <t>JP</t>
        </is>
      </c>
      <c r="C381" t="inlineStr"/>
      <c r="D381" t="inlineStr">
        <is>
          <t>Beyond Next Ventures</t>
        </is>
      </c>
      <c r="E381" t="inlineStr">
        <is>
          <t>Industrial biotech, agri-food, deep tech</t>
        </is>
      </c>
      <c r="F381" t="inlineStr">
        <is>
          <t>High</t>
        </is>
      </c>
      <c r="G381" t="inlineStr">
        <is>
          <t>https://beyondnextventures.com/portfolio/</t>
        </is>
      </c>
      <c r="H381" t="inlineStr">
        <is>
          <t>University deep-tech, seed-growth</t>
        </is>
      </c>
      <c r="I381" t="inlineStr">
        <is>
          <t>agent-verified 2026-06</t>
        </is>
      </c>
    </row>
    <row r="382">
      <c r="A382" t="inlineStr">
        <is>
          <t>Japan</t>
        </is>
      </c>
      <c r="B382" t="inlineStr">
        <is>
          <t>JP</t>
        </is>
      </c>
      <c r="C382" t="inlineStr"/>
      <c r="D382" t="inlineStr">
        <is>
          <t>ANRI (incl. ANRI GREEN Fund)</t>
        </is>
      </c>
      <c r="E382" t="inlineStr">
        <is>
          <t>Climate/decarbonization, deep tech, materials</t>
        </is>
      </c>
      <c r="F382" t="inlineStr">
        <is>
          <t>High</t>
        </is>
      </c>
      <c r="G382" t="inlineStr">
        <is>
          <t>https://anri.vc/</t>
        </is>
      </c>
      <c r="H382" t="inlineStr">
        <is>
          <t>Seed VC, dedicated decarbonization fund</t>
        </is>
      </c>
      <c r="I382" t="inlineStr">
        <is>
          <t>agent-verified 2026-06</t>
        </is>
      </c>
    </row>
    <row r="383">
      <c r="A383" t="inlineStr">
        <is>
          <t>Japan</t>
        </is>
      </c>
      <c r="B383" t="inlineStr">
        <is>
          <t>JP</t>
        </is>
      </c>
      <c r="C383" t="inlineStr"/>
      <c r="D383" t="inlineStr">
        <is>
          <t>World Innovation Lab (WiL)</t>
        </is>
      </c>
      <c r="E383" t="inlineStr">
        <is>
          <t>Industry AI, automation, sustainability</t>
        </is>
      </c>
      <c r="F383" t="inlineStr">
        <is>
          <t>Med</t>
        </is>
      </c>
      <c r="G383" t="inlineStr">
        <is>
          <t>https://wilab.com/companies</t>
        </is>
      </c>
      <c r="H383" t="inlineStr">
        <is>
          <t>US-Japan growth VC, corporate-backed</t>
        </is>
      </c>
      <c r="I383" t="inlineStr">
        <is>
          <t>agent-verified 2026-06</t>
        </is>
      </c>
    </row>
    <row r="384">
      <c r="A384" t="inlineStr">
        <is>
          <t>Japan</t>
        </is>
      </c>
      <c r="B384" t="inlineStr">
        <is>
          <t>JP</t>
        </is>
      </c>
      <c r="C384" t="inlineStr"/>
      <c r="D384" t="inlineStr">
        <is>
          <t>JIC Venture Growth Investments</t>
        </is>
      </c>
      <c r="E384" t="inlineStr">
        <is>
          <t>Industrial/climate, deep tech, growth</t>
        </is>
      </c>
      <c r="F384" t="inlineStr">
        <is>
          <t>Med</t>
        </is>
      </c>
      <c r="G384" t="inlineStr">
        <is>
          <t>https://www.j-vgi.co.jp/en</t>
        </is>
      </c>
      <c r="H384" t="inlineStr">
        <is>
          <t>Government (JIC) growth-stage fund</t>
        </is>
      </c>
      <c r="I384" t="inlineStr">
        <is>
          <t>agent-verified 2026-06</t>
        </is>
      </c>
    </row>
    <row r="385">
      <c r="A385" t="inlineStr">
        <is>
          <t>Japan</t>
        </is>
      </c>
      <c r="B385" t="inlineStr">
        <is>
          <t>JP</t>
        </is>
      </c>
      <c r="C385" t="inlineStr"/>
      <c r="D385" t="inlineStr">
        <is>
          <t>INCJ</t>
        </is>
      </c>
      <c r="E385" t="inlineStr">
        <is>
          <t>Green energy, materials, electronics, biotech</t>
        </is>
      </c>
      <c r="F385" t="inlineStr">
        <is>
          <t>Med</t>
        </is>
      </c>
      <c r="G385" t="inlineStr">
        <is>
          <t>https://www.incj.co.jp/english/</t>
        </is>
      </c>
      <c r="H385" t="inlineStr">
        <is>
          <t>Public-private fund, industrial/climate</t>
        </is>
      </c>
      <c r="I385" t="inlineStr">
        <is>
          <t>agent-verified 2026-06</t>
        </is>
      </c>
    </row>
    <row r="386">
      <c r="A386" t="inlineStr">
        <is>
          <t>Japan</t>
        </is>
      </c>
      <c r="B386" t="inlineStr">
        <is>
          <t>JP</t>
        </is>
      </c>
      <c r="C386" t="inlineStr"/>
      <c r="D386" t="inlineStr">
        <is>
          <t>Spiral Capital</t>
        </is>
      </c>
      <c r="E386" t="inlineStr">
        <is>
          <t>Industry AI, IoT, X-tech, climate</t>
        </is>
      </c>
      <c r="F386" t="inlineStr">
        <is>
          <t>Med</t>
        </is>
      </c>
      <c r="G386" t="inlineStr">
        <is>
          <t>https://spiral-cap.com/en/portfolio/</t>
        </is>
      </c>
      <c r="H386" t="inlineStr">
        <is>
          <t>Industry-transformation VC</t>
        </is>
      </c>
      <c r="I386" t="inlineStr">
        <is>
          <t>agent-verified 2026-06</t>
        </is>
      </c>
    </row>
    <row r="387">
      <c r="A387" t="inlineStr">
        <is>
          <t>Japan</t>
        </is>
      </c>
      <c r="B387" t="inlineStr">
        <is>
          <t>JP</t>
        </is>
      </c>
      <c r="C387" t="inlineStr"/>
      <c r="D387" t="inlineStr">
        <is>
          <t>DBJ Capital</t>
        </is>
      </c>
      <c r="E387" t="inlineStr">
        <is>
          <t>Frontier/industrial tech, biotech, climate</t>
        </is>
      </c>
      <c r="F387" t="inlineStr">
        <is>
          <t>Med</t>
        </is>
      </c>
      <c r="G387" t="inlineStr">
        <is>
          <t>https://www.dbj-cap.jp/en/portfolio/</t>
        </is>
      </c>
      <c r="H387" t="inlineStr">
        <is>
          <t>CVC arm of Development Bank of Japan</t>
        </is>
      </c>
      <c r="I387" t="inlineStr">
        <is>
          <t>agent-verified 2026-06</t>
        </is>
      </c>
    </row>
    <row r="388">
      <c r="A388" t="inlineStr">
        <is>
          <t>Japan</t>
        </is>
      </c>
      <c r="B388" t="inlineStr">
        <is>
          <t>JP</t>
        </is>
      </c>
      <c r="C388" t="inlineStr"/>
      <c r="D388" t="inlineStr">
        <is>
          <t>UTEC (University of Tokyo Edge Capital)</t>
        </is>
      </c>
      <c r="E388" t="inlineStr">
        <is>
          <t>Advanced materials, industrial biotech, AI, deep tech</t>
        </is>
      </c>
      <c r="F388" t="inlineStr">
        <is>
          <t>High</t>
        </is>
      </c>
      <c r="G388" t="inlineStr">
        <is>
          <t>https://www.ut-ec.co.jp/english/our_companies/</t>
        </is>
      </c>
      <c r="H388" t="inlineStr">
        <is>
          <t>University deep-tech, physical sciences/materials</t>
        </is>
      </c>
      <c r="I388" t="inlineStr">
        <is>
          <t>agent-verified 2026-06</t>
        </is>
      </c>
    </row>
    <row r="389">
      <c r="A389" t="inlineStr">
        <is>
          <t>Japan</t>
        </is>
      </c>
      <c r="B389" t="inlineStr">
        <is>
          <t>JP</t>
        </is>
      </c>
      <c r="C389" t="inlineStr"/>
      <c r="D389" t="inlineStr">
        <is>
          <t>Genesia Ventures</t>
        </is>
      </c>
      <c r="E389" t="inlineStr">
        <is>
          <t>Deep tech, climate, industrial</t>
        </is>
      </c>
      <c r="F389" t="inlineStr">
        <is>
          <t>Med</t>
        </is>
      </c>
      <c r="G389" t="inlineStr">
        <is>
          <t>https://www.genesiaventures.com/en/partners/</t>
        </is>
      </c>
      <c r="H389" t="inlineStr">
        <is>
          <t>Seed VC, growing deep-tech allocation</t>
        </is>
      </c>
      <c r="I389" t="inlineStr">
        <is>
          <t>agent-verified 2026-06</t>
        </is>
      </c>
    </row>
    <row r="390">
      <c r="A390" t="inlineStr">
        <is>
          <t>Japan</t>
        </is>
      </c>
      <c r="B390" t="inlineStr">
        <is>
          <t>JP</t>
        </is>
      </c>
      <c r="C390" t="inlineStr"/>
      <c r="D390" t="inlineStr">
        <is>
          <t>Mitsubishi UFJ Capital (MUCAP)</t>
        </is>
      </c>
      <c r="E390" t="inlineStr">
        <is>
          <t>Life science, electronics, industrial biotech</t>
        </is>
      </c>
      <c r="F390" t="inlineStr">
        <is>
          <t>Med</t>
        </is>
      </c>
      <c r="G390" t="inlineStr">
        <is>
          <t>https://www.mucap.co.jp/english/portfolio/</t>
        </is>
      </c>
      <c r="H390" t="inlineStr">
        <is>
          <t>MUFG VC arm, drug discovery/deep tech</t>
        </is>
      </c>
      <c r="I390" t="inlineStr">
        <is>
          <t>agent-verified 2026-06</t>
        </is>
      </c>
    </row>
    <row r="391">
      <c r="A391" t="inlineStr">
        <is>
          <t>Japan</t>
        </is>
      </c>
      <c r="B391" t="inlineStr">
        <is>
          <t>JP</t>
        </is>
      </c>
      <c r="C391" t="inlineStr"/>
      <c r="D391" t="inlineStr">
        <is>
          <t>Mitsui &amp; Co. Global Investment (MGI)</t>
        </is>
      </c>
      <c r="E391" t="inlineStr">
        <is>
          <t>CCUS/carbon, climate, materials, agri-food</t>
        </is>
      </c>
      <c r="F391" t="inlineStr">
        <is>
          <t>High</t>
        </is>
      </c>
      <c r="G391" t="inlineStr">
        <is>
          <t>https://mitsui-global.com/our-portfolio/</t>
        </is>
      </c>
      <c r="H391" t="inlineStr">
        <is>
          <t>CVC of Mitsui &amp; Co., carbon mgmt (DAC, e-fuels)</t>
        </is>
      </c>
      <c r="I391" t="inlineStr">
        <is>
          <t>agent-verified 2026-06</t>
        </is>
      </c>
    </row>
    <row r="392">
      <c r="A392" t="inlineStr">
        <is>
          <t>Japan</t>
        </is>
      </c>
      <c r="B392" t="inlineStr">
        <is>
          <t>JP</t>
        </is>
      </c>
      <c r="C392" t="inlineStr"/>
      <c r="D392" t="inlineStr">
        <is>
          <t>Asahi Kasei Ventures</t>
        </is>
      </c>
      <c r="E392" t="inlineStr">
        <is>
          <t>Specialty chemicals, advanced materials, carbon neutrality</t>
        </is>
      </c>
      <c r="F392" t="inlineStr">
        <is>
          <t>High</t>
        </is>
      </c>
      <c r="G392" t="inlineStr">
        <is>
          <t>https://www.asahikaseiventures.com/</t>
        </is>
      </c>
      <c r="H392" t="inlineStr">
        <is>
          <t>CVC of Asahi Kasei, materials/healthcare</t>
        </is>
      </c>
      <c r="I392" t="inlineStr">
        <is>
          <t>agent-verified 2026-06</t>
        </is>
      </c>
    </row>
    <row r="393">
      <c r="A393" t="inlineStr">
        <is>
          <t>Japan</t>
        </is>
      </c>
      <c r="B393" t="inlineStr">
        <is>
          <t>JP</t>
        </is>
      </c>
      <c r="C393" t="inlineStr"/>
      <c r="D393" t="inlineStr">
        <is>
          <t>JGC MIRAI Innovation Fund</t>
        </is>
      </c>
      <c r="E393" t="inlineStr">
        <is>
          <t>CCUS/carbon, climate, industrial, infrastructure</t>
        </is>
      </c>
      <c r="F393" t="inlineStr">
        <is>
          <t>High</t>
        </is>
      </c>
      <c r="G393" t="inlineStr">
        <is>
          <t>https://jgc-mif.jp/</t>
        </is>
      </c>
      <c r="H393" t="inlineStr">
        <is>
          <t>CVC of JGC (engineering), carbon-neutral focus</t>
        </is>
      </c>
      <c r="I393" t="inlineStr">
        <is>
          <t>agent-verified 2026-06</t>
        </is>
      </c>
    </row>
    <row r="394">
      <c r="A394" t="inlineStr">
        <is>
          <t>Japan</t>
        </is>
      </c>
      <c r="B394" t="inlineStr">
        <is>
          <t>JP</t>
        </is>
      </c>
      <c r="C394" t="inlineStr"/>
      <c r="D394" t="inlineStr">
        <is>
          <t>ENEOS Innovation Partners (ENEOS MIRAI HUB)</t>
        </is>
      </c>
      <c r="E394" t="inlineStr">
        <is>
          <t>Decarbonization, circular economy, materials, energy</t>
        </is>
      </c>
      <c r="F394" t="inlineStr">
        <is>
          <t>High</t>
        </is>
      </c>
      <c r="G394" t="inlineStr">
        <is>
          <t>https://www.eneos-innovation.co.jp/english/collaborative-partners</t>
        </is>
      </c>
      <c r="H394" t="inlineStr">
        <is>
          <t>CVC of ENEOS Holdings, low-carbon</t>
        </is>
      </c>
      <c r="I394" t="inlineStr">
        <is>
          <t>agent-verified 2026-06</t>
        </is>
      </c>
    </row>
    <row r="395">
      <c r="A395" t="inlineStr">
        <is>
          <t>Japan</t>
        </is>
      </c>
      <c r="B395" t="inlineStr">
        <is>
          <t>JP</t>
        </is>
      </c>
      <c r="C395" t="inlineStr"/>
      <c r="D395" t="inlineStr">
        <is>
          <t>Japan Energy Fund (JERA Ventures)</t>
        </is>
      </c>
      <c r="E395" t="inlineStr">
        <is>
          <t>CCUS/carbon, energy transition, climate</t>
        </is>
      </c>
      <c r="F395" t="inlineStr">
        <is>
          <t>High</t>
        </is>
      </c>
      <c r="G395" t="inlineStr">
        <is>
          <t>https://www.japanenergyfund-ventures.com/portfolio</t>
        </is>
      </c>
      <c r="H395" t="inlineStr">
        <is>
          <t>CVC of JERA, decarbonization (Svante, Energy Dome)</t>
        </is>
      </c>
      <c r="I395" t="inlineStr">
        <is>
          <t>agent-verified 2026-06</t>
        </is>
      </c>
    </row>
    <row r="396">
      <c r="A396" t="inlineStr">
        <is>
          <t>Japan</t>
        </is>
      </c>
      <c r="B396" t="inlineStr">
        <is>
          <t>JP</t>
        </is>
      </c>
      <c r="C396" t="inlineStr"/>
      <c r="D396" t="inlineStr">
        <is>
          <t>MOL PLUS</t>
        </is>
      </c>
      <c r="E396" t="inlineStr">
        <is>
          <t>Climate, offshore, industrial/maritime tech</t>
        </is>
      </c>
      <c r="F396" t="inlineStr">
        <is>
          <t>Med</t>
        </is>
      </c>
      <c r="G396" t="inlineStr">
        <is>
          <t>https://www.mol.co.jp/en/pr/2021/21003.html</t>
        </is>
      </c>
      <c r="H396" t="inlineStr">
        <is>
          <t>CVC of Mitsui O.S.K. Lines, ocean-industrial</t>
        </is>
      </c>
      <c r="I396" t="inlineStr">
        <is>
          <t>agent-verified 2026-06</t>
        </is>
      </c>
    </row>
    <row r="397">
      <c r="A397" t="inlineStr">
        <is>
          <t>Japan</t>
        </is>
      </c>
      <c r="B397" t="inlineStr">
        <is>
          <t>JP</t>
        </is>
      </c>
      <c r="C397" t="inlineStr"/>
      <c r="D397" t="inlineStr">
        <is>
          <t>Mitsubishi Electric ME Innovation Fund</t>
        </is>
      </c>
      <c r="E397" t="inlineStr">
        <is>
          <t>Industry AI, industrial/climate tech</t>
        </is>
      </c>
      <c r="F397" t="inlineStr">
        <is>
          <t>Med</t>
        </is>
      </c>
      <c r="G397" t="inlineStr">
        <is>
          <t>https://www.mitsubishielectric.com/cvc/portfolio.html</t>
        </is>
      </c>
      <c r="H397" t="inlineStr">
        <is>
          <t>CVC of Mitsubishi Electric</t>
        </is>
      </c>
      <c r="I397" t="inlineStr">
        <is>
          <t>agent-verified 2026-06</t>
        </is>
      </c>
    </row>
    <row r="398">
      <c r="A398" t="inlineStr">
        <is>
          <t>Japan</t>
        </is>
      </c>
      <c r="B398" t="inlineStr">
        <is>
          <t>JP</t>
        </is>
      </c>
      <c r="C398" t="inlineStr"/>
      <c r="D398" t="inlineStr">
        <is>
          <t>NTT DOCOMO Ventures</t>
        </is>
      </c>
      <c r="E398" t="inlineStr">
        <is>
          <t>Industry AI, climate, deep tech</t>
        </is>
      </c>
      <c r="F398" t="inlineStr">
        <is>
          <t>Med</t>
        </is>
      </c>
      <c r="G398" t="inlineStr">
        <is>
          <t>https://www.nttdocomo-v.com/en/portfolio/</t>
        </is>
      </c>
      <c r="H398" t="inlineStr">
        <is>
          <t>CVC of NTT/DOCOMO, broad incl. AI/climate</t>
        </is>
      </c>
      <c r="I398" t="inlineStr">
        <is>
          <t>agent-verified 2026-06</t>
        </is>
      </c>
    </row>
    <row r="399">
      <c r="A399" t="inlineStr">
        <is>
          <t>USA</t>
        </is>
      </c>
      <c r="B399" t="inlineStr">
        <is>
          <t>US</t>
        </is>
      </c>
      <c r="C399" t="inlineStr"/>
      <c r="D399" t="inlineStr">
        <is>
          <t>Breakthrough Energy Ventures</t>
        </is>
      </c>
      <c r="E399" t="inlineStr">
        <is>
          <t>Climate tech, industrial decarb, CCUS, energy</t>
        </is>
      </c>
      <c r="F399" t="inlineStr">
        <is>
          <t>High</t>
        </is>
      </c>
      <c r="G399" t="inlineStr">
        <is>
          <t>https://www.breakthroughenergy.org/our-work/breakthrough-energy-ventures/</t>
        </is>
      </c>
      <c r="H399" t="inlineStr">
        <is>
          <t>Hard-tech climate, multi-stage</t>
        </is>
      </c>
      <c r="I399" t="inlineStr">
        <is>
          <t>agent-verified 2026-06</t>
        </is>
      </c>
    </row>
    <row r="400">
      <c r="A400" t="inlineStr">
        <is>
          <t>USA</t>
        </is>
      </c>
      <c r="B400" t="inlineStr">
        <is>
          <t>US</t>
        </is>
      </c>
      <c r="C400" t="inlineStr"/>
      <c r="D400" t="inlineStr">
        <is>
          <t>Lowercarbon Capital</t>
        </is>
      </c>
      <c r="E400" t="inlineStr">
        <is>
          <t>Carbon removal, climate, industrial, materials</t>
        </is>
      </c>
      <c r="F400" t="inlineStr">
        <is>
          <t>High</t>
        </is>
      </c>
      <c r="G400" t="inlineStr">
        <is>
          <t>https://lowercarbon.com/companies/</t>
        </is>
      </c>
      <c r="H400" t="inlineStr">
        <is>
          <t>Emissions cuts + carbon removal</t>
        </is>
      </c>
      <c r="I400" t="inlineStr">
        <is>
          <t>agent-verified 2026-06</t>
        </is>
      </c>
    </row>
    <row r="401">
      <c r="A401" t="inlineStr">
        <is>
          <t>USA</t>
        </is>
      </c>
      <c r="B401" t="inlineStr">
        <is>
          <t>US</t>
        </is>
      </c>
      <c r="C401" t="inlineStr"/>
      <c r="D401" t="inlineStr">
        <is>
          <t>DCVC (Data Collective)</t>
        </is>
      </c>
      <c r="E401" t="inlineStr">
        <is>
          <t>Deep tech, industrial AI, climate, biotech</t>
        </is>
      </c>
      <c r="F401" t="inlineStr">
        <is>
          <t>High</t>
        </is>
      </c>
      <c r="G401" t="inlineStr">
        <is>
          <t>https://www.dcvc.com/companies/</t>
        </is>
      </c>
      <c r="H401" t="inlineStr">
        <is>
          <t>Deep-tech, early-to-growth</t>
        </is>
      </c>
      <c r="I401" t="inlineStr">
        <is>
          <t>agent-verified 2026-06</t>
        </is>
      </c>
    </row>
    <row r="402">
      <c r="A402" t="inlineStr">
        <is>
          <t>USA</t>
        </is>
      </c>
      <c r="B402" t="inlineStr">
        <is>
          <t>US</t>
        </is>
      </c>
      <c r="C402" t="inlineStr"/>
      <c r="D402" t="inlineStr">
        <is>
          <t>The Engine Ventures</t>
        </is>
      </c>
      <c r="E402" t="inlineStr">
        <is>
          <t>Tough tech, energy, semiconductors, biotech, materials</t>
        </is>
      </c>
      <c r="F402" t="inlineStr">
        <is>
          <t>High</t>
        </is>
      </c>
      <c r="G402" t="inlineStr">
        <is>
          <t>https://engineventures.com/companies</t>
        </is>
      </c>
      <c r="H402" t="inlineStr">
        <is>
          <t>MIT-linked tough tech</t>
        </is>
      </c>
      <c r="I402" t="inlineStr">
        <is>
          <t>agent-verified 2026-06</t>
        </is>
      </c>
    </row>
    <row r="403">
      <c r="A403" t="inlineStr">
        <is>
          <t>USA</t>
        </is>
      </c>
      <c r="B403" t="inlineStr">
        <is>
          <t>US</t>
        </is>
      </c>
      <c r="C403" t="inlineStr"/>
      <c r="D403" t="inlineStr">
        <is>
          <t>Prime Movers Lab</t>
        </is>
      </c>
      <c r="E403" t="inlineStr">
        <is>
          <t>Deep tech, energy, advanced materials, agtech</t>
        </is>
      </c>
      <c r="F403" t="inlineStr">
        <is>
          <t>High</t>
        </is>
      </c>
      <c r="G403" t="inlineStr">
        <is>
          <t>https://www.primemoverslab.com/portfolio/</t>
        </is>
      </c>
      <c r="H403" t="inlineStr">
        <is>
          <t>Breakthrough-science startups</t>
        </is>
      </c>
      <c r="I403" t="inlineStr">
        <is>
          <t>agent-verified 2026-06</t>
        </is>
      </c>
    </row>
    <row r="404">
      <c r="A404" t="inlineStr">
        <is>
          <t>USA</t>
        </is>
      </c>
      <c r="B404" t="inlineStr">
        <is>
          <t>US</t>
        </is>
      </c>
      <c r="C404" t="inlineStr"/>
      <c r="D404" t="inlineStr">
        <is>
          <t>Material Impact</t>
        </is>
      </c>
      <c r="E404" t="inlineStr">
        <is>
          <t>Advanced materials, sustainable products, food</t>
        </is>
      </c>
      <c r="F404" t="inlineStr">
        <is>
          <t>High</t>
        </is>
      </c>
      <c r="G404" t="inlineStr">
        <is>
          <t>https://www.materialimpact.com/companies</t>
        </is>
      </c>
      <c r="H404" t="inlineStr">
        <is>
          <t>Materials-science first-money</t>
        </is>
      </c>
      <c r="I404" t="inlineStr">
        <is>
          <t>agent-verified 2026-06</t>
        </is>
      </c>
    </row>
    <row r="405">
      <c r="A405" t="inlineStr">
        <is>
          <t>USA</t>
        </is>
      </c>
      <c r="B405" t="inlineStr">
        <is>
          <t>US</t>
        </is>
      </c>
      <c r="C405" t="inlineStr"/>
      <c r="D405" t="inlineStr">
        <is>
          <t>Energy Impact Partners</t>
        </is>
      </c>
      <c r="E405" t="inlineStr">
        <is>
          <t>Climate/energy, industrial decarbonization</t>
        </is>
      </c>
      <c r="F405" t="inlineStr">
        <is>
          <t>High</t>
        </is>
      </c>
      <c r="G405" t="inlineStr">
        <is>
          <t>https://www.energyimpactpartners.com/_portfolio/</t>
        </is>
      </c>
      <c r="H405" t="inlineStr">
        <is>
          <t>Energy transition, growth</t>
        </is>
      </c>
      <c r="I405" t="inlineStr">
        <is>
          <t>agent-verified 2026-06</t>
        </is>
      </c>
    </row>
    <row r="406">
      <c r="A406" t="inlineStr">
        <is>
          <t>USA</t>
        </is>
      </c>
      <c r="B406" t="inlineStr">
        <is>
          <t>US</t>
        </is>
      </c>
      <c r="C406" t="inlineStr"/>
      <c r="D406" t="inlineStr">
        <is>
          <t>S2G Investments (S2G Ventures)</t>
        </is>
      </c>
      <c r="E406" t="inlineStr">
        <is>
          <t>Food/ag, oceans, energy</t>
        </is>
      </c>
      <c r="F406" t="inlineStr">
        <is>
          <t>High</t>
        </is>
      </c>
      <c r="G406" t="inlineStr">
        <is>
          <t>https://www.s2ginvestments.com/companies</t>
        </is>
      </c>
      <c r="H406" t="inlineStr">
        <is>
          <t>Food/ag + energy, multi-stage</t>
        </is>
      </c>
      <c r="I406" t="inlineStr">
        <is>
          <t>agent-verified 2026-06</t>
        </is>
      </c>
    </row>
    <row r="407">
      <c r="A407" t="inlineStr">
        <is>
          <t>USA</t>
        </is>
      </c>
      <c r="B407" t="inlineStr">
        <is>
          <t>US</t>
        </is>
      </c>
      <c r="C407" t="inlineStr"/>
      <c r="D407" t="inlineStr">
        <is>
          <t>Pangaea Ventures</t>
        </is>
      </c>
      <c r="E407" t="inlineStr">
        <is>
          <t>Advanced materials, biotech, planetary health</t>
        </is>
      </c>
      <c r="F407" t="inlineStr">
        <is>
          <t>High</t>
        </is>
      </c>
      <c r="G407" t="inlineStr">
        <is>
          <t>https://www.pangaeaventures.com/portfolio</t>
        </is>
      </c>
      <c r="H407" t="inlineStr">
        <is>
          <t>Hard-tech materials science</t>
        </is>
      </c>
      <c r="I407" t="inlineStr">
        <is>
          <t>agent-verified 2026-06</t>
        </is>
      </c>
    </row>
    <row r="408">
      <c r="A408" t="inlineStr">
        <is>
          <t>USA</t>
        </is>
      </c>
      <c r="B408" t="inlineStr">
        <is>
          <t>US</t>
        </is>
      </c>
      <c r="C408" t="inlineStr"/>
      <c r="D408" t="inlineStr">
        <is>
          <t>Clear Current Capital</t>
        </is>
      </c>
      <c r="E408" t="inlineStr">
        <is>
          <t>Alt-protein, food tech, biotech</t>
        </is>
      </c>
      <c r="F408" t="inlineStr">
        <is>
          <t>High</t>
        </is>
      </c>
      <c r="G408" t="inlineStr">
        <is>
          <t>https://www.clearcurrentcapital.com/portfolio</t>
        </is>
      </c>
      <c r="H408" t="inlineStr">
        <is>
          <t>Sustainable food specialist</t>
        </is>
      </c>
      <c r="I408" t="inlineStr">
        <is>
          <t>agent-verified 2026-06</t>
        </is>
      </c>
    </row>
    <row r="409">
      <c r="A409" t="inlineStr">
        <is>
          <t>USA</t>
        </is>
      </c>
      <c r="B409" t="inlineStr">
        <is>
          <t>US</t>
        </is>
      </c>
      <c r="C409" t="inlineStr"/>
      <c r="D409" t="inlineStr">
        <is>
          <t>Congruent Ventures</t>
        </is>
      </c>
      <c r="E409" t="inlineStr">
        <is>
          <t>Climate, energy, food/ag, sustainable production</t>
        </is>
      </c>
      <c r="F409" t="inlineStr">
        <is>
          <t>High</t>
        </is>
      </c>
      <c r="G409" t="inlineStr">
        <is>
          <t>https://www.congruentvc.com/portfolio</t>
        </is>
      </c>
      <c r="H409" t="inlineStr">
        <is>
          <t>Early-stage climate</t>
        </is>
      </c>
      <c r="I409" t="inlineStr">
        <is>
          <t>agent-verified 2026-06</t>
        </is>
      </c>
    </row>
    <row r="410">
      <c r="A410" t="inlineStr">
        <is>
          <t>USA</t>
        </is>
      </c>
      <c r="B410" t="inlineStr">
        <is>
          <t>US</t>
        </is>
      </c>
      <c r="C410" t="inlineStr"/>
      <c r="D410" t="inlineStr">
        <is>
          <t>Voyager Ventures</t>
        </is>
      </c>
      <c r="E410" t="inlineStr">
        <is>
          <t>Climate, industrial decarbonization, materials</t>
        </is>
      </c>
      <c r="F410" t="inlineStr">
        <is>
          <t>High</t>
        </is>
      </c>
      <c r="G410" t="inlineStr">
        <is>
          <t>https://www.voyagervc.com/portfolio</t>
        </is>
      </c>
      <c r="H410" t="inlineStr">
        <is>
          <t>Early-stage climate</t>
        </is>
      </c>
      <c r="I410" t="inlineStr">
        <is>
          <t>agent-verified 2026-06</t>
        </is>
      </c>
    </row>
    <row r="411">
      <c r="A411" t="inlineStr">
        <is>
          <t>USA</t>
        </is>
      </c>
      <c r="B411" t="inlineStr">
        <is>
          <t>US</t>
        </is>
      </c>
      <c r="C411" t="inlineStr"/>
      <c r="D411" t="inlineStr">
        <is>
          <t>SOSV / IndieBio</t>
        </is>
      </c>
      <c r="E411" t="inlineStr">
        <is>
          <t>Biotech, industrial biotech, food, materials</t>
        </is>
      </c>
      <c r="F411" t="inlineStr">
        <is>
          <t>High</t>
        </is>
      </c>
      <c r="G411" t="inlineStr">
        <is>
          <t>https://sosv.com/portfolio/</t>
        </is>
      </c>
      <c r="H411" t="inlineStr">
        <is>
          <t>Deep-tech/bio accelerator</t>
        </is>
      </c>
      <c r="I411" t="inlineStr">
        <is>
          <t>agent-verified 2026-06</t>
        </is>
      </c>
    </row>
    <row r="412">
      <c r="A412" t="inlineStr">
        <is>
          <t>USA</t>
        </is>
      </c>
      <c r="B412" t="inlineStr">
        <is>
          <t>US</t>
        </is>
      </c>
      <c r="C412" t="inlineStr"/>
      <c r="D412" t="inlineStr">
        <is>
          <t>1955 Capital</t>
        </is>
      </c>
      <c r="E412" t="inlineStr">
        <is>
          <t>Energy, materials, food, sustainable manufacturing</t>
        </is>
      </c>
      <c r="F412" t="inlineStr">
        <is>
          <t>High</t>
        </is>
      </c>
      <c r="G412" t="inlineStr">
        <is>
          <t>https://1955.capital/portfolio</t>
        </is>
      </c>
      <c r="H412" t="inlineStr">
        <is>
          <t>Deep-tech, waste-to-value chemicals</t>
        </is>
      </c>
      <c r="I412" t="inlineStr">
        <is>
          <t>agent-verified 2026-06</t>
        </is>
      </c>
    </row>
    <row r="413">
      <c r="A413" t="inlineStr">
        <is>
          <t>USA</t>
        </is>
      </c>
      <c r="B413" t="inlineStr">
        <is>
          <t>US</t>
        </is>
      </c>
      <c r="C413" t="inlineStr"/>
      <c r="D413" t="inlineStr">
        <is>
          <t>Fontinalis Partners</t>
        </is>
      </c>
      <c r="E413" t="inlineStr">
        <is>
          <t>Mobility, industrial, clean energy, automation</t>
        </is>
      </c>
      <c r="F413" t="inlineStr">
        <is>
          <t>Med</t>
        </is>
      </c>
      <c r="G413" t="inlineStr">
        <is>
          <t>https://www.fontinalis.com/portfolio</t>
        </is>
      </c>
      <c r="H413" t="inlineStr">
        <is>
          <t>Physical-digital industrial</t>
        </is>
      </c>
      <c r="I413" t="inlineStr">
        <is>
          <t>agent-verified 2026-06</t>
        </is>
      </c>
    </row>
    <row r="414">
      <c r="A414" t="inlineStr">
        <is>
          <t>USA</t>
        </is>
      </c>
      <c r="B414" t="inlineStr">
        <is>
          <t>US</t>
        </is>
      </c>
      <c r="C414" t="inlineStr"/>
      <c r="D414" t="inlineStr">
        <is>
          <t>G2 Venture Partners</t>
        </is>
      </c>
      <c r="E414" t="inlineStr">
        <is>
          <t>Sustainable industry, energy, robotics, AI</t>
        </is>
      </c>
      <c r="F414" t="inlineStr">
        <is>
          <t>High</t>
        </is>
      </c>
      <c r="G414" t="inlineStr">
        <is>
          <t>https://g2vp.com/portfolio/</t>
        </is>
      </c>
      <c r="H414" t="inlineStr">
        <is>
          <t>Industrial transformation, growth</t>
        </is>
      </c>
      <c r="I414" t="inlineStr">
        <is>
          <t>agent-verified 2026-06</t>
        </is>
      </c>
    </row>
    <row r="415">
      <c r="A415" t="inlineStr">
        <is>
          <t>USA</t>
        </is>
      </c>
      <c r="B415" t="inlineStr">
        <is>
          <t>US</t>
        </is>
      </c>
      <c r="C415" t="inlineStr"/>
      <c r="D415" t="inlineStr">
        <is>
          <t>8090 Industries</t>
        </is>
      </c>
      <c r="E415" t="inlineStr">
        <is>
          <t>Industrial decarb, biotech, materials, manufacturing</t>
        </is>
      </c>
      <c r="F415" t="inlineStr">
        <is>
          <t>High</t>
        </is>
      </c>
      <c r="G415" t="inlineStr">
        <is>
          <t>https://8090industries.com/portfolio</t>
        </is>
      </c>
      <c r="H415" t="inlineStr">
        <is>
          <t>Industrialist-backed deep tech</t>
        </is>
      </c>
      <c r="I415" t="inlineStr">
        <is>
          <t>agent-verified 2026-06</t>
        </is>
      </c>
    </row>
    <row r="416">
      <c r="A416" t="inlineStr">
        <is>
          <t>USA</t>
        </is>
      </c>
      <c r="B416" t="inlineStr">
        <is>
          <t>US</t>
        </is>
      </c>
      <c r="C416" t="inlineStr"/>
      <c r="D416" t="inlineStr">
        <is>
          <t>Ecosystem Integrity Fund</t>
        </is>
      </c>
      <c r="E416" t="inlineStr">
        <is>
          <t>Renewables, green chemistry, ag, sustainable food</t>
        </is>
      </c>
      <c r="F416" t="inlineStr">
        <is>
          <t>High</t>
        </is>
      </c>
      <c r="G416" t="inlineStr">
        <is>
          <t>https://eif.vc/portfolio/</t>
        </is>
      </c>
      <c r="H416" t="inlineStr">
        <is>
          <t>Early-growth sustainability</t>
        </is>
      </c>
      <c r="I416" t="inlineStr">
        <is>
          <t>agent-verified 2026-06</t>
        </is>
      </c>
    </row>
    <row r="417">
      <c r="A417" t="inlineStr">
        <is>
          <t>USA</t>
        </is>
      </c>
      <c r="B417" t="inlineStr">
        <is>
          <t>US</t>
        </is>
      </c>
      <c r="C417" t="inlineStr"/>
      <c r="D417" t="inlineStr">
        <is>
          <t>Elemental Impact (Elemental Excelerator)</t>
        </is>
      </c>
      <c r="E417" t="inlineStr">
        <is>
          <t>Climate, energy, food/ag, industry, water</t>
        </is>
      </c>
      <c r="F417" t="inlineStr">
        <is>
          <t>High</t>
        </is>
      </c>
      <c r="G417" t="inlineStr">
        <is>
          <t>https://elementalimpact.com/companies/</t>
        </is>
      </c>
      <c r="H417" t="inlineStr">
        <is>
          <t>Climate project + equity</t>
        </is>
      </c>
      <c r="I417" t="inlineStr">
        <is>
          <t>agent-verified 2026-06</t>
        </is>
      </c>
    </row>
    <row r="418">
      <c r="A418" t="inlineStr">
        <is>
          <t>USA</t>
        </is>
      </c>
      <c r="B418" t="inlineStr">
        <is>
          <t>US</t>
        </is>
      </c>
      <c r="C418" t="inlineStr"/>
      <c r="D418" t="inlineStr">
        <is>
          <t>TDK Ventures</t>
        </is>
      </c>
      <c r="E418" t="inlineStr">
        <is>
          <t>Advanced materials, energy, industrial, robotics</t>
        </is>
      </c>
      <c r="F418" t="inlineStr">
        <is>
          <t>High</t>
        </is>
      </c>
      <c r="G418" t="inlineStr">
        <is>
          <t>https://tdk-ventures.com/portfolio/</t>
        </is>
      </c>
      <c r="H418" t="inlineStr">
        <is>
          <t>Materials/electronics CVC</t>
        </is>
      </c>
      <c r="I418" t="inlineStr">
        <is>
          <t>agent-verified 2026-06</t>
        </is>
      </c>
    </row>
    <row r="419">
      <c r="A419" t="inlineStr">
        <is>
          <t>USA</t>
        </is>
      </c>
      <c r="B419" t="inlineStr">
        <is>
          <t>US</t>
        </is>
      </c>
      <c r="C419" t="inlineStr"/>
      <c r="D419" t="inlineStr">
        <is>
          <t>Azolla Ventures</t>
        </is>
      </c>
      <c r="E419" t="inlineStr">
        <is>
          <t>Climate, industrial, carbon, materials</t>
        </is>
      </c>
      <c r="F419" t="inlineStr">
        <is>
          <t>High</t>
        </is>
      </c>
      <c r="G419" t="inlineStr">
        <is>
          <t>https://azollaventures.com/our-portfolio/</t>
        </is>
      </c>
      <c r="H419" t="inlineStr">
        <is>
          <t>Catalytic early climate (Prime Coalition)</t>
        </is>
      </c>
      <c r="I419" t="inlineStr">
        <is>
          <t>agent-verified 2026-06</t>
        </is>
      </c>
    </row>
    <row r="420">
      <c r="A420" t="inlineStr">
        <is>
          <t>USA</t>
        </is>
      </c>
      <c r="B420" t="inlineStr">
        <is>
          <t>US</t>
        </is>
      </c>
      <c r="C420" t="inlineStr"/>
      <c r="D420" t="inlineStr">
        <is>
          <t>Ironspring Ventures</t>
        </is>
      </c>
      <c r="E420" t="inlineStr">
        <is>
          <t>Industrial, manufacturing, construction, energy</t>
        </is>
      </c>
      <c r="F420" t="inlineStr">
        <is>
          <t>High</t>
        </is>
      </c>
      <c r="G420" t="inlineStr">
        <is>
          <t>https://ironspring.com/portfolio-companies/</t>
        </is>
      </c>
      <c r="H420" t="inlineStr">
        <is>
          <t>Digital industrial innovation</t>
        </is>
      </c>
      <c r="I420" t="inlineStr">
        <is>
          <t>agent-verified 2026-06</t>
        </is>
      </c>
    </row>
    <row r="421">
      <c r="A421" t="inlineStr">
        <is>
          <t>USA</t>
        </is>
      </c>
      <c r="B421" t="inlineStr">
        <is>
          <t>US</t>
        </is>
      </c>
      <c r="C421" t="inlineStr"/>
      <c r="D421" t="inlineStr">
        <is>
          <t>Spero Ventures</t>
        </is>
      </c>
      <c r="E421" t="inlineStr">
        <is>
          <t>Sustainable energy, food, industrial AI</t>
        </is>
      </c>
      <c r="F421" t="inlineStr">
        <is>
          <t>Med</t>
        </is>
      </c>
      <c r="G421" t="inlineStr">
        <is>
          <t>https://www.spero.vc/portfolio</t>
        </is>
      </c>
      <c r="H421" t="inlineStr">
        <is>
          <t>Purpose-driven early stage</t>
        </is>
      </c>
      <c r="I421" t="inlineStr">
        <is>
          <t>agent-verified 2026-06</t>
        </is>
      </c>
    </row>
    <row r="422">
      <c r="A422" t="inlineStr">
        <is>
          <t>USA</t>
        </is>
      </c>
      <c r="B422" t="inlineStr">
        <is>
          <t>US</t>
        </is>
      </c>
      <c r="C422" t="inlineStr"/>
      <c r="D422" t="inlineStr">
        <is>
          <t>Collaborative Fund</t>
        </is>
      </c>
      <c r="E422" t="inlineStr">
        <is>
          <t>Climate/energy, food, consumer, AI</t>
        </is>
      </c>
      <c r="F422" t="inlineStr">
        <is>
          <t>Med</t>
        </is>
      </c>
      <c r="G422" t="inlineStr">
        <is>
          <t>https://www.collabfund.com/portfolio</t>
        </is>
      </c>
      <c r="H422" t="inlineStr">
        <is>
          <t>For-profit + for-good</t>
        </is>
      </c>
      <c r="I422" t="inlineStr">
        <is>
          <t>agent-verified 2026-06</t>
        </is>
      </c>
    </row>
    <row r="423">
      <c r="A423" t="inlineStr">
        <is>
          <t>USA</t>
        </is>
      </c>
      <c r="B423" t="inlineStr">
        <is>
          <t>US</t>
        </is>
      </c>
      <c r="C423" t="inlineStr"/>
      <c r="D423" t="inlineStr">
        <is>
          <t>Wireframe Ventures</t>
        </is>
      </c>
      <c r="E423" t="inlineStr">
        <is>
          <t>Climate, bio, agtech, health</t>
        </is>
      </c>
      <c r="F423" t="inlineStr">
        <is>
          <t>Med</t>
        </is>
      </c>
      <c r="G423" t="inlineStr">
        <is>
          <t>https://www.wireframevc.com/portfolio</t>
        </is>
      </c>
      <c r="H423" t="inlineStr">
        <is>
          <t>Pre-seed/seed climate + bio</t>
        </is>
      </c>
      <c r="I423" t="inlineStr">
        <is>
          <t>agent-verified 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2026-05-09T09:50:39Z</dcterms:created>
  <dcterms:modified xmlns:dcterms="http://purl.org/dc/terms/" xmlns:xsi="http://www.w3.org/2001/XMLSchema-instance" xsi:type="dcterms:W3CDTF">2026-06-10T10:32:36Z</dcterms:modified>
</cp:coreProperties>
</file>