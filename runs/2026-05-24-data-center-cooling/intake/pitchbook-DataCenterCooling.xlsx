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c97ab3df05a75a8e/Herb_trial/DataCenterCooling_Herb/"/>
    </mc:Choice>
  </mc:AlternateContent>
  <xr:revisionPtr revIDLastSave="0" documentId="8_{3B95DDF6-98DF-4260-A7F3-1253FF08816C}" xr6:coauthVersionLast="47" xr6:coauthVersionMax="47" xr10:uidLastSave="{00000000-0000-0000-0000-000000000000}"/>
  <bookViews>
    <workbookView xWindow="29865" yWindow="1155" windowWidth="26280" windowHeight="19455" tabRatio="500" xr2:uid="{00000000-000D-0000-FFFF-FFFF00000000}"/>
  </bookViews>
  <sheets>
    <sheet name="Data" sheetId="2" r:id="rId1"/>
    <sheet name="hidden_styles_1" sheetId="3" state="veryHidden" r:id="rId2"/>
    <sheet name="Disclaimer"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2" i="2" l="1"/>
  <c r="F142" i="2"/>
  <c r="H141" i="2"/>
  <c r="H140" i="2"/>
  <c r="F140" i="2"/>
  <c r="H139" i="2"/>
  <c r="F139" i="2"/>
  <c r="H138" i="2"/>
  <c r="F138" i="2"/>
  <c r="H137" i="2"/>
  <c r="F137" i="2"/>
  <c r="H136" i="2"/>
  <c r="F136" i="2"/>
  <c r="H135" i="2"/>
  <c r="F135" i="2"/>
  <c r="H134" i="2"/>
  <c r="F134" i="2"/>
  <c r="H133" i="2"/>
  <c r="H132" i="2"/>
  <c r="F132" i="2"/>
  <c r="H131" i="2"/>
  <c r="F131" i="2"/>
  <c r="H130" i="2"/>
  <c r="H129" i="2"/>
  <c r="F129" i="2"/>
  <c r="H128" i="2"/>
  <c r="F128" i="2"/>
  <c r="H127" i="2"/>
  <c r="F127" i="2"/>
  <c r="H126" i="2"/>
  <c r="F126" i="2"/>
  <c r="H125" i="2"/>
  <c r="F125" i="2"/>
  <c r="H124" i="2"/>
  <c r="F124" i="2"/>
  <c r="H123" i="2"/>
  <c r="F123" i="2"/>
  <c r="H122" i="2"/>
  <c r="F122" i="2"/>
  <c r="H121" i="2"/>
  <c r="F121" i="2"/>
  <c r="H120" i="2"/>
  <c r="F120" i="2"/>
  <c r="H119" i="2"/>
  <c r="F119" i="2"/>
  <c r="H118" i="2"/>
  <c r="F118" i="2"/>
  <c r="H117" i="2"/>
  <c r="F117" i="2"/>
  <c r="H116" i="2"/>
  <c r="F116" i="2"/>
  <c r="H115" i="2"/>
  <c r="F115" i="2"/>
  <c r="H114" i="2"/>
  <c r="F114" i="2"/>
  <c r="H113" i="2"/>
  <c r="F113" i="2"/>
  <c r="H112" i="2"/>
  <c r="F112" i="2"/>
  <c r="H111" i="2"/>
  <c r="F111" i="2"/>
  <c r="H110" i="2"/>
  <c r="F110" i="2"/>
  <c r="H109" i="2"/>
  <c r="F109" i="2"/>
  <c r="H108" i="2"/>
  <c r="F108" i="2"/>
  <c r="H107" i="2"/>
  <c r="F107" i="2"/>
  <c r="H106" i="2"/>
  <c r="F106" i="2"/>
  <c r="H105" i="2"/>
  <c r="F105" i="2"/>
  <c r="H104" i="2"/>
  <c r="F104" i="2"/>
  <c r="H103" i="2"/>
  <c r="F103" i="2"/>
  <c r="H102" i="2"/>
  <c r="F102" i="2"/>
  <c r="H101" i="2"/>
  <c r="F101" i="2"/>
  <c r="H100" i="2"/>
  <c r="F100" i="2"/>
  <c r="H99" i="2"/>
  <c r="F99" i="2"/>
  <c r="H98" i="2"/>
  <c r="F98" i="2"/>
  <c r="H97" i="2"/>
  <c r="F97" i="2"/>
  <c r="H96" i="2"/>
  <c r="F96" i="2"/>
  <c r="H95" i="2"/>
  <c r="F95" i="2"/>
  <c r="H94" i="2"/>
  <c r="F94" i="2"/>
  <c r="H93" i="2"/>
  <c r="F93" i="2"/>
  <c r="H92" i="2"/>
  <c r="F92" i="2"/>
  <c r="H91" i="2"/>
  <c r="F91" i="2"/>
  <c r="H90" i="2"/>
  <c r="F90" i="2"/>
  <c r="H89" i="2"/>
  <c r="F89" i="2"/>
  <c r="H88" i="2"/>
  <c r="F88" i="2"/>
  <c r="H87" i="2"/>
  <c r="F87" i="2"/>
  <c r="H86" i="2"/>
  <c r="F86" i="2"/>
  <c r="H85" i="2"/>
  <c r="F85" i="2"/>
  <c r="H84" i="2"/>
  <c r="F84" i="2"/>
  <c r="H83" i="2"/>
  <c r="F83" i="2"/>
  <c r="H82" i="2"/>
  <c r="F82" i="2"/>
  <c r="H81" i="2"/>
  <c r="F81" i="2"/>
  <c r="H80" i="2"/>
  <c r="F80" i="2"/>
  <c r="H79" i="2"/>
  <c r="F79" i="2"/>
  <c r="H78" i="2"/>
  <c r="F78" i="2"/>
  <c r="H77" i="2"/>
  <c r="F77" i="2"/>
  <c r="H76" i="2"/>
  <c r="F76" i="2"/>
  <c r="H75" i="2"/>
  <c r="F75" i="2"/>
  <c r="H74" i="2"/>
  <c r="F74" i="2"/>
  <c r="H73" i="2"/>
  <c r="F73" i="2"/>
  <c r="H72" i="2"/>
  <c r="F72" i="2"/>
  <c r="H71" i="2"/>
  <c r="H70" i="2"/>
  <c r="F70" i="2"/>
  <c r="H69" i="2"/>
  <c r="F69" i="2"/>
  <c r="H68" i="2"/>
  <c r="F68" i="2"/>
  <c r="H67" i="2"/>
  <c r="F67" i="2"/>
  <c r="H66" i="2"/>
  <c r="F66" i="2"/>
  <c r="H65" i="2"/>
  <c r="F65" i="2"/>
  <c r="H64" i="2"/>
  <c r="F64" i="2"/>
  <c r="H63" i="2"/>
  <c r="F63" i="2"/>
  <c r="H62" i="2"/>
  <c r="F62" i="2"/>
  <c r="H61" i="2"/>
  <c r="F61" i="2"/>
  <c r="H60" i="2"/>
  <c r="F60" i="2"/>
  <c r="H59" i="2"/>
  <c r="F59" i="2"/>
  <c r="H58" i="2"/>
  <c r="F58" i="2"/>
  <c r="H57" i="2"/>
  <c r="F57" i="2"/>
  <c r="H56" i="2"/>
  <c r="F56" i="2"/>
  <c r="H55" i="2"/>
  <c r="F55" i="2"/>
  <c r="H54" i="2"/>
  <c r="F54" i="2"/>
  <c r="H53" i="2"/>
  <c r="F53" i="2"/>
  <c r="H52" i="2"/>
  <c r="F52" i="2"/>
  <c r="H51" i="2"/>
  <c r="F51" i="2"/>
  <c r="H50" i="2"/>
  <c r="F50" i="2"/>
  <c r="H49" i="2"/>
  <c r="F49" i="2"/>
  <c r="H48" i="2"/>
  <c r="F48" i="2"/>
  <c r="H47" i="2"/>
  <c r="F47" i="2"/>
  <c r="H46" i="2"/>
  <c r="F46" i="2"/>
  <c r="H45" i="2"/>
  <c r="F45" i="2"/>
  <c r="H44" i="2"/>
  <c r="F44" i="2"/>
  <c r="H43" i="2"/>
  <c r="F43" i="2"/>
  <c r="H42" i="2"/>
  <c r="F42" i="2"/>
  <c r="H41" i="2"/>
  <c r="F41" i="2"/>
  <c r="H40" i="2"/>
  <c r="F40" i="2"/>
  <c r="H39" i="2"/>
  <c r="F39" i="2"/>
  <c r="H38" i="2"/>
  <c r="F38" i="2"/>
  <c r="H37" i="2"/>
  <c r="F37" i="2"/>
  <c r="H36" i="2"/>
  <c r="F36" i="2"/>
  <c r="H35" i="2"/>
  <c r="F35" i="2"/>
  <c r="H34" i="2"/>
  <c r="F34" i="2"/>
  <c r="H33" i="2"/>
  <c r="F33" i="2"/>
  <c r="H32" i="2"/>
  <c r="F32" i="2"/>
  <c r="H31" i="2"/>
  <c r="F31" i="2"/>
  <c r="H30" i="2"/>
  <c r="F30" i="2"/>
  <c r="H29" i="2"/>
  <c r="F29" i="2"/>
  <c r="H28" i="2"/>
  <c r="F28" i="2"/>
  <c r="H27" i="2"/>
  <c r="F27" i="2"/>
  <c r="H26" i="2"/>
  <c r="F26" i="2"/>
  <c r="H25" i="2"/>
  <c r="F25" i="2"/>
  <c r="H24" i="2"/>
  <c r="F24" i="2"/>
  <c r="H23" i="2"/>
  <c r="F23" i="2"/>
  <c r="H22" i="2"/>
  <c r="F22" i="2"/>
  <c r="H21" i="2"/>
  <c r="F21" i="2"/>
  <c r="H20" i="2"/>
  <c r="F20" i="2"/>
  <c r="H19" i="2"/>
  <c r="F19" i="2"/>
  <c r="H18" i="2"/>
  <c r="F18" i="2"/>
  <c r="H17" i="2"/>
  <c r="F17" i="2"/>
  <c r="H16" i="2"/>
  <c r="F16" i="2"/>
  <c r="H15" i="2"/>
  <c r="F15" i="2"/>
  <c r="H14" i="2"/>
  <c r="F14" i="2"/>
  <c r="H13" i="2"/>
  <c r="F13" i="2"/>
  <c r="H12" i="2"/>
  <c r="F12" i="2"/>
  <c r="H11" i="2"/>
  <c r="F11" i="2"/>
  <c r="H10" i="2"/>
  <c r="F10" i="2"/>
  <c r="H9" i="2"/>
  <c r="F9" i="2"/>
</calcChain>
</file>

<file path=xl/sharedStrings.xml><?xml version="1.0" encoding="utf-8"?>
<sst xmlns="http://schemas.openxmlformats.org/spreadsheetml/2006/main" count="720" uniqueCount="670">
  <si>
    <t>Downloaded on:</t>
  </si>
  <si>
    <t>Created for:</t>
  </si>
  <si>
    <t xml:space="preserve">Sandro Fazio, ICOS Capital </t>
  </si>
  <si>
    <t>Search Link:</t>
  </si>
  <si>
    <t>https://my.pitchbook.com/?pcc=1328621-50</t>
  </si>
  <si>
    <t>Search Criteria:</t>
  </si>
  <si>
    <t xml:space="preserve">Ownership Status: Privately Held (backing); Privately Held (no backing); Backing Status: All Backing Statuses; Locations: United States; Canada; Europe; Americas; Asia; Africa; Middle East; Oceania; Emerging Spaces: Information Technology &gt; Data Center Cooling Tech; Keywords: data center cooling; data center cooling system; data center cooling technology; Search Emerging Spaces OR Keywords; </t>
  </si>
  <si>
    <t>Search Result Columns</t>
  </si>
  <si>
    <t>Company ID</t>
  </si>
  <si>
    <t>Companies</t>
  </si>
  <si>
    <t>Description</t>
  </si>
  <si>
    <t>HQ Location</t>
  </si>
  <si>
    <t>Year Founded</t>
  </si>
  <si>
    <t>Website</t>
  </si>
  <si>
    <t>Keywords</t>
  </si>
  <si>
    <t>View Company Online</t>
  </si>
  <si>
    <t>1364923-63</t>
  </si>
  <si>
    <t>Chipadd</t>
  </si>
  <si>
    <t>Developer of direct-on-chip cooling technology designed to reduce data centre energy consumption and enhance next-generation electronics performance. The company's technology is integrated directly onto semiconductor chips to remove heat at the source, enabling data centre operators and electronics manufacturers to lower power consumption, increase compute density, and improve system reliability.</t>
  </si>
  <si>
    <t>Vestal, NY</t>
  </si>
  <si>
    <t>cooling technology, data center cooling, data center infrastructure, data center technology, electronics thermal management, liquid cooling, lower energy costs, semiconductor cooling</t>
  </si>
  <si>
    <t>1241702-11</t>
  </si>
  <si>
    <t>Point Solution</t>
  </si>
  <si>
    <t>Developer of high-efficiency thermal buffer systems designed to support cooling operations in data centers and similar industrial environments.
The company develops and engineers stratified buffer tanks that maximize cooling performance and energy efficiency through patented thermal management technology, enabling data centers and high-performance computing facilities to improve temperature regulation, reduce energy use, and support stable, efficient thermal operations.</t>
  </si>
  <si>
    <t>Incheon, South Korea</t>
  </si>
  <si>
    <t>data center cooling, energy efficient cooling system, engineering development, heat storage, performance optimization, storage tank, thermal technology</t>
  </si>
  <si>
    <t>1240222-24</t>
  </si>
  <si>
    <t>Tejas Process Systems</t>
  </si>
  <si>
    <t>Manufacturer of fluid process systems designed to optimize wastewater treatment, resource recovery, and water reuse in the oil, gas, industrial, municipal, and mining industries. The company engineers modular, mobile, and durable process systems featuring chemical treatment, filtration, electrostatic coalescence, membrane separation, and ion exchange technologies, enabling clients to recover valuable hydrocarbons and minerals, reduce wastewater volumes, and achieve compliant discharge while improving system efficiency and sustainability.</t>
  </si>
  <si>
    <t>Brookshire, TX</t>
  </si>
  <si>
    <t>agriculture and food processing, data center cooling, municipal wastewater treatment, oil &amp; gas, system design, system manufacturing, wastewater treatment, water recovery</t>
  </si>
  <si>
    <t>898598-17</t>
  </si>
  <si>
    <t>Icicleflow</t>
  </si>
  <si>
    <t>Manufacturer of liquid cooled radiators and related thermal management products intended for CPUs, GPUs, and other high power electronics. The company offers products that include liquid coolers, quick couplings, energy storage cooling systems, integrated server cooling, brazing water cooling plates, and more.</t>
  </si>
  <si>
    <t>Dongguan City, China</t>
  </si>
  <si>
    <t>data center cooling, energy storage cooling, liquid coolers, liquid cooling, quick couplings, thermal management system</t>
  </si>
  <si>
    <t>623946-52</t>
  </si>
  <si>
    <t>NuWatts</t>
  </si>
  <si>
    <t>Operator of data center energy-efficiency technology and develops hybrid thermomagnetic/thermoelectric systems intended to improve server cooling while recovering waste heat for clean power generation and lower environmental impact. The company's technology provides hybrid thermomagnetic and thermoelectric cooling systems with waste-heat reuse capabilities, enabling data center operators and other high-heat infrastructure stakeholders to reduce energy loss and improve thermal efficiency.</t>
  </si>
  <si>
    <t>Huntington Beach, CA</t>
  </si>
  <si>
    <t>data center cooling, data center cooling technology, data center design, hybrid cooling system, thermoelectric systems, thermomagnetic cooling, waste heat recovery</t>
  </si>
  <si>
    <t>1168945-21</t>
  </si>
  <si>
    <t>PiCool Technologies</t>
  </si>
  <si>
    <t>Developer of evaporative cooling hardware designed to dissipate extreme heat loads in high-power electronics. The company's platform uses fiber-based evaporative cooling, advanced materials engineering, and scalable integration for high-power devices, enabling data center operators and electronics manufacturers to improve cooling efficiency and manage extreme thermal loads.</t>
  </si>
  <si>
    <t>San Diego, CA</t>
  </si>
  <si>
    <t>ai chips, electronics cooling, electronics manufacturer, evaporative cooling, heat control, power electronics, server cooling system, thermal management</t>
  </si>
  <si>
    <t>1385309-17</t>
  </si>
  <si>
    <t>SkySpigot</t>
  </si>
  <si>
    <t>The company primarily operates in the Media and Information Services (B2B) industry. SkySpigot was founded in 2024 and is headquartered in Durango, CO.</t>
  </si>
  <si>
    <t>Durango, CO</t>
  </si>
  <si>
    <t>atmospheric water generation, critical infrastructure, data center cooling, deep tech, defense technology, energy efficiency, ev thermal management, hyperscale computing, industrial water, medical imaging technology, semiconductor cooling, water-energy nexus</t>
  </si>
  <si>
    <t>1083525-76</t>
  </si>
  <si>
    <t>SwirlX</t>
  </si>
  <si>
    <t>Operator of a data center cooling system designed to reduce global energy consumption and support sustainable technology growth. The company offers advanced heat exchange technology, optimized thermal efficiency, and reliable performance, enabling AI and data center operators to achieve significant energy savings, minimize downtime, and advance sustainability goals.</t>
  </si>
  <si>
    <t>cooling system, data center, digital engagement, energy futures, global energy, thermal efficiency</t>
  </si>
  <si>
    <t>925299-91</t>
  </si>
  <si>
    <t>Xlex</t>
  </si>
  <si>
    <t>Operator of a research-driven battery technology startup, intended to revolutionize energy storage. The company offers advanced battery solutions featuring patented liquid immersion cooling, high energy density, and customizable designs for diverse mobility and automation sectors, enabling customers to achieve safer, longer-lasting, and more efficient power systems across electric vehicles.</t>
  </si>
  <si>
    <t>Pune, India</t>
  </si>
  <si>
    <t>battery manufacturing company, drones battery systems, drones battery technology, energy storage batteries, energy storage cell, ev battery developer</t>
  </si>
  <si>
    <t>591042-79</t>
  </si>
  <si>
    <t>Coolstack Tech</t>
  </si>
  <si>
    <t>Provider of one-stop liquid cooling system solution for technology services tailored to data centers and edge computing. The company focuses on providing customers with sustainable, low energy consumption liquid cooling systems and data center designs, enabling customers to save cost of data center operation.</t>
  </si>
  <si>
    <t>Shanghai, China</t>
  </si>
  <si>
    <t>cooling system, data center cooling, data center cooling system, data center systems, liquid cooling, liquid cooling system</t>
  </si>
  <si>
    <t>690845-05</t>
  </si>
  <si>
    <t>Deep Atomic</t>
  </si>
  <si>
    <t>Developer of compact nuclear reactors designed to address the primary energy demands of a data-driven world. The company specializes in power generation, cooling, and compute infrastructure, ensuring its customers achieve reliability, expedited deployments, and enhanced efficiency.</t>
  </si>
  <si>
    <t>Baar, Switzerland</t>
  </si>
  <si>
    <t>data center cooling, electric power generation, energy equipment, environmental impact, nuclear reactor services, nuclear reactor technology, power generation</t>
  </si>
  <si>
    <t>1240374-25</t>
  </si>
  <si>
    <t>London Geothermal Consortium</t>
  </si>
  <si>
    <t>Provider of geothermal energy solutions designed to support clean and efficient heating, cooling, and electricity generation. The company offers end-to-end project development services, including feasibility studies, system design, engineering, procurement, construction, and financing, enabling businesses and communities to implement geothermal energy with reduced upfront costs. Their offerings include risk assessment, hybrid net-zero systems, and an ESCO model based on long-term heat purchase agreements, providing clients with long-term cost savings and carbon reductions in the UK market.</t>
  </si>
  <si>
    <t>London, United Kingdom</t>
  </si>
  <si>
    <t>data center cooling, district heating, green finance, heating and cooling, renewable energy, waste heat</t>
  </si>
  <si>
    <t>597771-91</t>
  </si>
  <si>
    <t>NetworkOcean</t>
  </si>
  <si>
    <t>Operator of underwater data centers intended to improve internet performance. The company offers edge compute level latency to eliminate freshwater usage and reduce operating costs, enabling customers to enhance hardware reliability through power savings.</t>
  </si>
  <si>
    <t>San Francisco, CA</t>
  </si>
  <si>
    <t>cooling system, data center cooling, internet performance monitoring, power saving, underwater data, underwater data collection</t>
  </si>
  <si>
    <t>925556-14</t>
  </si>
  <si>
    <t>Thrace Air Conditioning and Industrial Cooling Systems</t>
  </si>
  <si>
    <t>Operator of cooling and HVAC systems designed to provide specialized cooling solutions. The company offers plastic cooling chillers, food and beverage cooling chillers, MR imaging cooling systems, and data center cooling chillers, serving industrial plants and corporate facilities. Services include project design, sales, installation, and supply of spare parts and accessories.</t>
  </si>
  <si>
    <t>Corlu, Turkey</t>
  </si>
  <si>
    <t>air cooling, water cooling</t>
  </si>
  <si>
    <t>893646-01</t>
  </si>
  <si>
    <t>Blue Snow Frontier Technologies</t>
  </si>
  <si>
    <t>Developer of cooling systems designed to integrate nanofluid technology for efficiency. The company offers products such as nanofluid for chilled water systems, data center-to-chip cooling, cognitive digital twins, carbon capture using cooling towers, EV Battery liquid cooling, and graphene for split units for AC, helping buildings, infrastructure, and transportation to reduce energy consumption.</t>
  </si>
  <si>
    <t>Shah Alam, Malaysia</t>
  </si>
  <si>
    <t>cooling system, data center, ev battery, nanofluid technology, sustainable practices, water system</t>
  </si>
  <si>
    <t>847111-51</t>
  </si>
  <si>
    <t>Data For Med</t>
  </si>
  <si>
    <t>Operator of an advanced data center campus intended to deliver high-performance computing infrastructure and secure colocation environments to support digital transformation. The company features ANSI/TIA Tier IV certified facilities, scalable IT space with traditional and liquid immersion cooling, dedicated and shared disaster recovery workplaces, customizable colocation options including racks, cages, and data halls, and robust physical and network security measures, enabling enterprises, cloud providers, and public sector organizations to access reliable, energy-efficient data hosting, disaster recovery, and connectivity services.</t>
  </si>
  <si>
    <t>Naples, Italy</t>
  </si>
  <si>
    <t>data center, data center campus, data hosting, disaster recovery, immersion cooling, it space</t>
  </si>
  <si>
    <t>539442-73</t>
  </si>
  <si>
    <t>Impact Cooling</t>
  </si>
  <si>
    <t>Developer of a direct-to-chip air cooling system designed to reduce data center
power consumption. The company uses air jet impingement cooling technology for heat transfer to cool server equipment efficiently using only air and its system is designed to fit in the same footprint as a traditional finned heatsink and interfaces with the current server fans, enabling data centers
to reduce energy consumption and carbon footprint through improved server cooling technologies.</t>
  </si>
  <si>
    <t>Birmingham, AL</t>
  </si>
  <si>
    <t>air cooling, air cooling equipment, carbon footprint reduction, cooling technology, data center cooling, energy consumption control</t>
  </si>
  <si>
    <t>894294-91</t>
  </si>
  <si>
    <t>KoolMicro</t>
  </si>
  <si>
    <t>Manufacturer of semiconductor thermal management hardware designed for high-density chip cooling. The company's product applies manifold microchannel structures, direct-to-chip liquid cooling, and flow control techniques to dissipate heat from integrated circuits, enabling electronics manufacturers and data center operators to maintain performance, reduce energy consumption, and manage thermal loads in compact environments.</t>
  </si>
  <si>
    <t>Daejeon, South Korea</t>
  </si>
  <si>
    <t>data center cooling, energy efficient cooling, heat dissipation product, overheating control, semiconductor module, thermal management tool</t>
  </si>
  <si>
    <t>639047-89</t>
  </si>
  <si>
    <t>Tenutec</t>
  </si>
  <si>
    <t>Developer of a proprietary graphene-based nanofluid designed for data center cooling. The company provides a drop-in coolant that offers improved thermal conductivity over traditional fluids and is compatible with existing liquid-cooled systems, enabling data center operators to reduce energy and water consumption, lower cooling costs, and enhance sustainability.</t>
  </si>
  <si>
    <t>Gothenburg, Sweden</t>
  </si>
  <si>
    <t>cooling system, energy conservation, graphene production technology, graphene products, sustainable production, thermal conductivity, water conservation</t>
  </si>
  <si>
    <t>615582-28</t>
  </si>
  <si>
    <t>Ultrascale Digital Infrastructure</t>
  </si>
  <si>
    <t>Developer of advanced cooling solutions intended to serve the data center industry. The company offers technologies that enable data centers to operate with high efficiency, supporting high-density servers and AI-powered workloads without the use of water, refrigerants, or harmful chemicals, enabling clients to meet the demands of next-generation server technology.</t>
  </si>
  <si>
    <t>San Ramon, CA</t>
  </si>
  <si>
    <t>cooling technology, data center cooling, data center deployment, immersion cooling services, immersion cooling system, immersion cooling technology</t>
  </si>
  <si>
    <t>541107-19</t>
  </si>
  <si>
    <t>Arctic Impulse</t>
  </si>
  <si>
    <t>Operator of an energy company intended to reshape the battery and data center cooling industry with environmental sustainability. The company provides state-of-the-art immersion cooling technology for data centers, batteries, and engineering services for energy storage systems, thermal management, and simulations and testing services to test electric vehicle prototypes on the dynamometer, even without a real battery installed in the vehicle, enabling industries such as data centers and high-performance sectors to achieve improved safety, efficiency, and reduced environmental impact through innovative thermal management and battery technologies.</t>
  </si>
  <si>
    <t>Vantaa, Finland</t>
  </si>
  <si>
    <t>cooling solutions, cooling system, energy storage management, heat transfer technology, immersion cooling technology, renewable energy, renewable energy data, thermal management service</t>
  </si>
  <si>
    <t>503343-37</t>
  </si>
  <si>
    <t>Hotta</t>
  </si>
  <si>
    <t>Developer of a data center infrastructure platform designed to improve energy efficiency and recover waste heat from computing systems. The company offers liquid immersion cooling technology, waste heat capture, and integrated thermal energy systems, enabling data center operators, industrial facilities, and commercial users to reduce energy waste and access carbon-free heating.</t>
  </si>
  <si>
    <t>Soria, Spain</t>
  </si>
  <si>
    <t>cooling technology, energy efficiency system, energy recycling, liquid cooling technology, thermal energy systems, water heating system</t>
  </si>
  <si>
    <t>812050-93</t>
  </si>
  <si>
    <t>iXora (Computer Hardware)</t>
  </si>
  <si>
    <t>Provider of data center cooling technology intended to address the needs of modern data centers. The company offers cool equipment with efficient power consumption technology and provides immersion cooling services for clients, enabling clients to enhance their business operations.</t>
  </si>
  <si>
    <t>Ede, Netherlands</t>
  </si>
  <si>
    <t>cooling technology, data center cooling, data center optimization, immersion cooling, power consumption reduction, thermal management</t>
  </si>
  <si>
    <t>466441-03</t>
  </si>
  <si>
    <t>NaviX Solutions</t>
  </si>
  <si>
    <t>Operator of critical power and cooling infrastructure-as-a-service platform intended for providing full lifecycle management for enterprise power and cooling assets. The company's platform offers a complete subscription-based service that provides financial agility, maximized operational performance, and full asset lifecycle management, enabling clients to focus on their core business.</t>
  </si>
  <si>
    <t>Singapore, Singapore</t>
  </si>
  <si>
    <t>cooling assets, critical power solutions, data center cooling, power and cooling facility, subscription-based, unified digital platform</t>
  </si>
  <si>
    <t>620737-48</t>
  </si>
  <si>
    <t>ResetData</t>
  </si>
  <si>
    <t>Operator of data centers intended to provide sustainable technology. The company provides tailored cloud services for various businesses and utilizes liquid immersion cooling technology, enabling less energy consumption and reduced carbon footprint.</t>
  </si>
  <si>
    <t>Surry Hills, Australia</t>
  </si>
  <si>
    <t>cloud services, data center, data center operator, data server, liquid cooling technology, sustainable technology</t>
  </si>
  <si>
    <t>495743-05</t>
  </si>
  <si>
    <t>SC Zeus Data Centres</t>
  </si>
  <si>
    <t>Operator of data center development and operations services across Singapore, China, Japan and South Korea. The company offers to operate a wide network of data centers with proprietary cooling systems to reduce energy consumption, helping to optimize scalability, reliability and security, along with maximizing energy efficiency.</t>
  </si>
  <si>
    <t>cooling module, data center, data center cooling, data center design, data center development, data center operators</t>
  </si>
  <si>
    <t>821251-72</t>
  </si>
  <si>
    <t>Cool Filtration</t>
  </si>
  <si>
    <t>Manufacturer of liquid cooling products based in London, England. The company's portfolio of solutions includes custom-engineered filtration systems, high-efficiency filter cartridges, flushing filters for system maintenance, robust high-flow filter housings, agile design and implementation services, and performance monitoring to ensure long-term reliability in closed-loop cooling systems.</t>
  </si>
  <si>
    <t>computer hardware, cooling system, data center cooling, data center cooling system, filtration solutions, liquid cooling</t>
  </si>
  <si>
    <t>533113-84</t>
  </si>
  <si>
    <t>Maverick Power</t>
  </si>
  <si>
    <t>Manufacturer of electrical control and distribution systems headquartered in Plano, Texas. The company specializes in critical power and data center cooling and provides switchgear, switchboards, PDUs, and automated solutions to the critical and industrial power market.</t>
  </si>
  <si>
    <t>Plano, TX</t>
  </si>
  <si>
    <t>data center cooling, electrical appliances, electronics manufacturing, manufacturer of distbution system, manufacturer of electrical control, switchboards products, switchgear product</t>
  </si>
  <si>
    <t>498037-96</t>
  </si>
  <si>
    <t>DC Asia</t>
  </si>
  <si>
    <t>Provider of optimal data center and server room construction and operation support intended to serve the data center industry and user companies. The company offers a wide range of services including data center operation management, cooling equipment and power equipment products, data center infrastructure management, procurement of system construction products, project management, and more.</t>
  </si>
  <si>
    <t>Tokyo, Japan</t>
  </si>
  <si>
    <t>data center consulting, data center cooling, data center facility, data center infrastructure, power equipment, project management advice</t>
  </si>
  <si>
    <t>462874-96</t>
  </si>
  <si>
    <t>Incooling</t>
  </si>
  <si>
    <t>Developer and manufacturer of pressure-controlled phase change cooling systems designed to cool data centers. The company's systems are equipped with new and different properties and characteristics that allow for extreme thermal reliability and energy savings, enabling clients to ensure optimal computing performance.</t>
  </si>
  <si>
    <t>Eindhoven, Netherlands</t>
  </si>
  <si>
    <t>computer cooling system, computer hardware, cooling system service, cooling system technology, data center cooling, hardware cooling</t>
  </si>
  <si>
    <t>934903-81</t>
  </si>
  <si>
    <t>Rakes Engineers and Consultants</t>
  </si>
  <si>
    <t>Operator of mechanical engineering and consulting services designed to support HVAC and plumbing system design and upgrades. The company provides engineering solutions such as HVAC air handler upgrades, plumbing system design, and renovation projects, serving institutional and government facilities including veterans' hospitals and community living centers.</t>
  </si>
  <si>
    <t>Aurora, CO</t>
  </si>
  <si>
    <t>data center cooling, plant optimization, plumbing design</t>
  </si>
  <si>
    <t>925504-03</t>
  </si>
  <si>
    <t>Cspm Thailand</t>
  </si>
  <si>
    <t>The company primarily operates in the Construction and Engineering industry. Cspm Thailand was founded in 2017 and is headquartered in Lak Si, Thailand.</t>
  </si>
  <si>
    <t>Lak Si, Thailand</t>
  </si>
  <si>
    <t>battery monitoring, data center construction, data center cooling, data center maintenance, fire protection, fire suppression, security access control, uninterruptible power supply</t>
  </si>
  <si>
    <t>463316-50</t>
  </si>
  <si>
    <t>Engineered Fluids</t>
  </si>
  <si>
    <t>Developer and manufacturer of cooling fluids and lubricants intended for power transformers, data-centers, medical devices and diesel engines. The company develops a liquid immersion cooling system and provides a single-phase liquid immersion coolants-based cooling system that can be used for data centers and GPUs, thereby leveraging the vast chemical and technology experience to develop environmentally safe and effective dielectric coolants, fluids and lubricants for the industrial, semiconductor, military, marine and transportation industries.</t>
  </si>
  <si>
    <t>Tyler, TX</t>
  </si>
  <si>
    <t>chemical manufacturer, cooling fluid, cooling system, data center cooling technology, dielectric coolant, thermal management</t>
  </si>
  <si>
    <t>437128-03</t>
  </si>
  <si>
    <t>Nexalus</t>
  </si>
  <si>
    <t>Developer of sustainable electronic cooling technologies designed to manage heat from high-performance electronics. The company's technology integrates advanced thermal-fluid science and engineering to cool, capture, and reuse thermal energy, reducing costs and supporting the circular economy, enabling businesses to optimize their operations while minimizing environmental impact.</t>
  </si>
  <si>
    <t>Cork, Ireland</t>
  </si>
  <si>
    <t>carbon emission, cooling system, data center cooling technology, electronic manufacturing, environmental impact reduction, gaming system</t>
  </si>
  <si>
    <t>863899-39</t>
  </si>
  <si>
    <t>Cepac Air</t>
  </si>
  <si>
    <t>Provider of HVAC services intended for commercial and residential clients. The company offers a range of services, including data center cooling, commercial HVAC installation, HVAC repair, HVAC maintenance, residential HVAC services, and residential ventilation installation.</t>
  </si>
  <si>
    <t>Lake Worth, FL</t>
  </si>
  <si>
    <t>commercial air conditioning, commercial hvac installation, data center cooling, hvac maintenance, hvac repair service, hvac services, residential hvac services</t>
  </si>
  <si>
    <t>465476-23</t>
  </si>
  <si>
    <t>DCX (Electrical Equipment)</t>
  </si>
  <si>
    <t>Manufacturer of liquid cooling systems and technologies intended for the aerospace and defense sector. The company offers products such as server immersion, direct liquid cooling systems, coolant distribution units, engineered fluids, crypto mining liquid cooling systems, heat streams transfer based on evaporation and latent heat of spray-injected evaporating nano-enhanced engineered fluids</t>
  </si>
  <si>
    <t>Warsaw, Poland</t>
  </si>
  <si>
    <t>data center cooling technology, high performance computing solutions, immersion cooling, liquid cooling products, liquid cooling solutions, liquid cooling system, liquid cooling technology</t>
  </si>
  <si>
    <t>907318-00</t>
  </si>
  <si>
    <t>MyTech Engineering Company (Pvt)</t>
  </si>
  <si>
    <t>Provider of engineering solutions focused on fire protection and HVAC systems. The company offers a range of products and services, including fire pumps, fire detection and suppression systems, fire extinguishers, fire sprinklers, air-cooled chillers, cooling towers, and IT networking services, serving clients in Pakistan and internationally. Their expertise in fire safety and climate control technologies positions them as a key player in the engineering solutions market.</t>
  </si>
  <si>
    <t>Karachi, Pakistan</t>
  </si>
  <si>
    <t>clean agent, data center cooling, fire protection, fire pump, mechanical fabrication</t>
  </si>
  <si>
    <t>265378-60</t>
  </si>
  <si>
    <t>ZutaCore</t>
  </si>
  <si>
    <t>Manufacturer of direct-to-chip liquid cooling systems designed for high-performance computing and artificial intelligence infrastructure operating in the data center industry. The company offers a waterless, two-phase cooling technology that manages heat at the chip level for demanding computing workloads, supporting increased compute density and operational efficiency in data center environments, enabling operators to deploy scalable artificial intelligence infrastructure with controlled thermal performance and reduced water usage.</t>
  </si>
  <si>
    <t>Foster City, CA</t>
  </si>
  <si>
    <t>cooling chips, cooling system, cooling technology, data center cooling system, data center thermal management, electronic cooling, liquid cooling, two-phase cooling, waterless cooling</t>
  </si>
  <si>
    <t>894091-33</t>
  </si>
  <si>
    <t>Eco-atlas</t>
  </si>
  <si>
    <t>Provider and developer of the fluid cooling service intended to serve the data center. The company offers immersion liquid cooling systems, integrated lifecycle services including design, construction, and operations, enabling cloud service providers, media platforms, and enterprises to achieve efficient, reliable, and eco-friendly computing infrastructure</t>
  </si>
  <si>
    <t>Shenzhen, China</t>
  </si>
  <si>
    <t>cloud computing, cooling services, cooling tech, data center cooling, data center service, fluid cooling</t>
  </si>
  <si>
    <t>1396000-81</t>
  </si>
  <si>
    <t>Kaori Thermal Technology</t>
  </si>
  <si>
    <t>Manufacturer of a high-tech thermal service company intended to provide advanced liquid cooling systems and specialized OEM/DFM services. The company offers advanced thermal management services including brazed plate heat exchangers, cooling systems and customized engineering services that combine innovation, durability and energy efficiency to meet diverse industrial and commercial needs, enabling customers to reduce energy consumption, enhance system reliability, achieve cost savings and align with sustainability goals.</t>
  </si>
  <si>
    <t>Taoyuan City, Taiwan</t>
  </si>
  <si>
    <t>cooling system product, data center cooling, liquid cooling system, oem services, thermal management software, thermal services</t>
  </si>
  <si>
    <t>540753-22</t>
  </si>
  <si>
    <t>Retaam Solutions</t>
  </si>
  <si>
    <t>Operator of an IT and telecom company intended to provide clients from government and private sectors in GCC with disruptive technologies and effective solutions to overcome their challenges. The company specializes in providing revolutionary technology in end-to-end services and optimized solutions for IoT, biometrics, data centers cooling technologies, and telecommunication applications, and also offers IoT solutions customizable at all levels, viz, hardware, firmware, and server platforms.</t>
  </si>
  <si>
    <t>Riyadh, Saudi Arabia</t>
  </si>
  <si>
    <t>biometrics solutions, digital solutions, digital transformation, hardware and software, iot company, telecom company</t>
  </si>
  <si>
    <t>233726-68</t>
  </si>
  <si>
    <t>Rezonent</t>
  </si>
  <si>
    <t>Developer of a semiconductor technology designed to recapture energy within a processor and enable computer processors to run at low power. The company's technology employs on-chip inductors to preemptively capture energy in a magnetic field and can recycle energy on the clock, data, and memory circuits, enabling data center vendors to reduce their power consumption, extend battery life, reduce carbon footprint in the manufacture and improve performance.</t>
  </si>
  <si>
    <t>Milpitas, CA</t>
  </si>
  <si>
    <t>battery life lengthening, carbon footprint reducer, computer processor, data center cooling, digital semiconductors, energy recycler system</t>
  </si>
  <si>
    <t>366657-58</t>
  </si>
  <si>
    <t>Select Stainless Sales</t>
  </si>
  <si>
    <t>Distributor of stainless steel products for industrial applications. The company provides valves, fittings, and tubing, serving industries such as pharmaceuticals, food processing, semiconductors, and server cooling systems. It is headquartered in West Seneca, NY, USA.</t>
  </si>
  <si>
    <t>West Seneca, NY</t>
  </si>
  <si>
    <t/>
  </si>
  <si>
    <t>234055-45</t>
  </si>
  <si>
    <t>Submer</t>
  </si>
  <si>
    <t>Developer of a cooling technology designed to serve the data center industry. The company addresses thermal management challenges by submerging servers in a proprietary dielectric fluid that has higher heat-transfer efficiency than air, enabling clients to operate high-density computing systems in a compact space with reduced energy consumption compared to traditional air-cooled environments.</t>
  </si>
  <si>
    <t>Barcelona, Spain</t>
  </si>
  <si>
    <t>built environment, cooling tower, data center cooling, data center cooling technology, data software, data technology, heating and cooling, immersion cooling</t>
  </si>
  <si>
    <t>570541-87</t>
  </si>
  <si>
    <t>TEIMMERS Cooling Solutions</t>
  </si>
  <si>
    <t>Developer of liquid immersion cooling systems for data centers. TEIMMERS' objective is to improve performance and energy efficiency through their immersion systems and products. The entity offers immersion cooling and cleaning tanks for single-phase or two-phase liquids, as well as containerized and facility scale-out solutions. Their focus is on providing efficient and effective cooling solutions for data centers.</t>
  </si>
  <si>
    <t>India</t>
  </si>
  <si>
    <t>cooling system, data center, immersion cleaning, immersion cooling, liquid cooling</t>
  </si>
  <si>
    <t>634411-81</t>
  </si>
  <si>
    <t>Acs - Advanced Cooling Solutions</t>
  </si>
  <si>
    <t>Provider of commercial and industrial cooling and refrigeration products and support services designed to serve data centers, energy sectors, and commercial refrigeration markets. The company provides sales and specialized technical assistance in air conditioning, commercial refrigeration, industrial refrigeration, and data center cooling, enabling clients to maintain system efficiency and reliability.</t>
  </si>
  <si>
    <t>Carnaxide, Portugal</t>
  </si>
  <si>
    <t>897706-63</t>
  </si>
  <si>
    <t>Amity Labs</t>
  </si>
  <si>
    <t>Provider of computing infrastructure and blockchain-related equipment designed to optimize cryptocurrency mining. The company specializes in power supply units and operates a research and development facility focusing on innovations in blockchain computing and high-performance computing (HPC). They also plan to construct a mixed-use data center that integrates hosting for blockchain computing, HPC/AI devices, and traditional servers.</t>
  </si>
  <si>
    <t>The Dalles, OR</t>
  </si>
  <si>
    <t>bitcoin mining, blockchain infrastructure, blockchain r&amp;d, cryptocurrency mining, data center cooling, data center design, data center operations, miner hosting, power distribution</t>
  </si>
  <si>
    <t>912120-13</t>
  </si>
  <si>
    <t>Cool And Call</t>
  </si>
  <si>
    <t>Operator of maintenance, service, and remote monitoring solutions intended to optimize commercial refrigeration and air conditioning systems. The company provides a 24-hour hotline and access to a nationwide network of refrigeration and air conditioning specialists, serving sectors including petrol stations, supermarkets, catering, hotels, medical facilities, server cooling, and vending machines. Its offerings include work with refrigerants such as R290 (propane) and R744 (CO2), preventive alarm management, and digital HACCP statistics for system monitoring.</t>
  </si>
  <si>
    <t>Fellbach, Germany</t>
  </si>
  <si>
    <t>1139135-95</t>
  </si>
  <si>
    <t>Eram Data Center Infrastructure</t>
  </si>
  <si>
    <t>Supplier of data infrastructure and analytics based in Tehran, Iran. The company offers data center cooling systems, network management software, power distribution panels, monitoring systems, metal racks, and more</t>
  </si>
  <si>
    <t>Tehran, Iran</t>
  </si>
  <si>
    <t>data center cooling system, data center module, metal rack, monitoring system, network management, power distribution panels</t>
  </si>
  <si>
    <t>700036-57</t>
  </si>
  <si>
    <t>GT Reps</t>
  </si>
  <si>
    <t>Operator of manufacturer representation services for datacom, OSP, and security products in Ohio and Michigan. GT Reps' purpose is to provide education and product application recommendations to aid in project success. The company represents manufacturers and offers value-added services such as product selection, design considerations, budgetary recommendations, and updated standards information.</t>
  </si>
  <si>
    <t>Avon Lake, OH</t>
  </si>
  <si>
    <t>data center cooling, labeling solutions</t>
  </si>
  <si>
    <t>301783-87</t>
  </si>
  <si>
    <t>New England Applied Products</t>
  </si>
  <si>
    <t>Manufacturer of HVAC equipment designed to design, install and maintain that equipment for the entire life-cycle of the building. The company's equipment lines continually lead the industry in energy efficiency and quality, enabling customers to utilize a strong collection of trusted equipment manufacturers on the airside and waterside.</t>
  </si>
  <si>
    <t>Waltham, MA</t>
  </si>
  <si>
    <t>building automation, data center cooling, heat pumps installation, heat pumps installation service, hvac system design, thermal management</t>
  </si>
  <si>
    <t>1167827-68</t>
  </si>
  <si>
    <t>Nine Labs</t>
  </si>
  <si>
    <t>Developer of thermal management technology designed for high-density server infrastructure. The company's platform focuses on liquid-cooling systems that make direct contact with semiconductor chips to improve heat transfer and energy efficiency compared with air and indirect cooling, addresses performance and equipment lifespan requirements, enabling operators of large-scale computing facilities to manage rising heat loads and reduce energy use.</t>
  </si>
  <si>
    <t>Gumi, South Korea</t>
  </si>
  <si>
    <t>ai server, cooling solutions, cooling system, data center, liquid cooling, liquid cooling system, performance optimization, semiconductor heating, server cooling system, thermal management</t>
  </si>
  <si>
    <t>277425-37</t>
  </si>
  <si>
    <t>ORBIS Wheels</t>
  </si>
  <si>
    <t>Developer of an advanced electrification and thermal-systems platform designed to deliver high-performance cooling for next-generation data centers. The company offers a compact, modular cooling platform built on patented axial-flux motor and power-electronics technology, enabling data center operators to manage high-density computing workloads with greater energy efficiency and a reduced physical footprint.</t>
  </si>
  <si>
    <t>Santa Rosa, CA</t>
  </si>
  <si>
    <t>automotive efficiency, axial fluxes motor, compact assembly, data center cooling system, magnetic drive pumps, us made</t>
  </si>
  <si>
    <t>171436-69</t>
  </si>
  <si>
    <t>Actasys</t>
  </si>
  <si>
    <t>Developer of mobility sensor-based technologies designed to revolutionize data center cooling. The company offers an electronically controlled system of small actuators that generate jets of air using little energy, facilitating the function of systems dependent on sensor data, enabling customers across several market sectors, including automotive, transportation, robotics, and smart cities, to solve existing critical real-world problems.</t>
  </si>
  <si>
    <t>New York, NY</t>
  </si>
  <si>
    <t>analytics platform, automotive components, automotive sensors modules, autonomous driving, camera protection, cloud data center, sensor technology</t>
  </si>
  <si>
    <t>464210-65</t>
  </si>
  <si>
    <t>ADC Technologies</t>
  </si>
  <si>
    <t>Developer of a data center cooling system designed to offer a viable replacement for air cooling. The company's system provides air cooling to each connected server independently and allows the heat to flow from the server to its interface, enabling data center operators to reduce the carbon footprint and save energy costs by eliminating heat.</t>
  </si>
  <si>
    <t>Montreal, Canada</t>
  </si>
  <si>
    <t>air systems, alternative cooling, carbon capture, cooling system, data center cooling, directing air capture</t>
  </si>
  <si>
    <t>57394-45</t>
  </si>
  <si>
    <t>Aligned Data Centers</t>
  </si>
  <si>
    <t>Provider of modular data center and mechanical cooling infrastructure systems development and operation services intended for cloud, enterprise, and managed service providers. The company offers colocation and build-to-scale services along with a pay-for-use data center, enabling clients to access all the computing and storage they require on demand and pay for what they use while keeping capacity, performance, and reliability in sync.</t>
  </si>
  <si>
    <t>ai neocloud, data center, data center building, data center colocation, data center cooling, data center hosting, data center operations, data center operator, data center power, data center server, data storage</t>
  </si>
  <si>
    <t>1269290-98</t>
  </si>
  <si>
    <t>focuscooling</t>
  </si>
  <si>
    <t>Manufacturer of refrigeration systems designed to address cooling challenges in high-performance computing installations. The company offers cooling solutions like DX Rear Door Coolers and Ventilation Units with computational fluid dynamics studies and collaboration with HPC partners, enabling data center operators to manage thermal loads effectively and maintain optimal operating conditions.</t>
  </si>
  <si>
    <t>Zaragoza, Spain</t>
  </si>
  <si>
    <t>cold doors, computer equipment, data center cooling, energy efficiency, hpc cooling, it equipment, it infrastructure, liquid cooling, rack cooling, refrigerated doors, research projects, scientific calculation, scientific research</t>
  </si>
  <si>
    <t>759556-63</t>
  </si>
  <si>
    <t>Multi-Pek Power Systems</t>
  </si>
  <si>
    <t>Provider of data center solutions intended to enhance operational reliability and efficiency. The company offers maintenance, part replacement, and modernization services, serving various industries, including healthcare, aviation, finance, transport, education, food and beverage, legal, and energy. Their expertise encompasses critical power, cooling, and software products, as well as the installation and maintenance of uninterruptible power supplies (UPS), data center monitoring and control solutions (DCIM), and data center design and build services.</t>
  </si>
  <si>
    <t>Bedfordview, South Africa</t>
  </si>
  <si>
    <t>battery replacement, corrective maintenance, data center cooling, data center software</t>
  </si>
  <si>
    <t>90415-81</t>
  </si>
  <si>
    <t>Nautilus Data Technologies</t>
  </si>
  <si>
    <t>Developer of a water-cooled data center designed to set a standard for energy efficiency, environmental sustainability, and global scalability. The company's technology focuses to deliver a reduced environmental footprint at a substantially lower cost, when compared with existing facilities, through enhanced energy efficiency, virtually no usage of water, water treatment chemicals, or potent greenhouse gas refrigerants, and reduced carbon emissions and air pollution, enabling customers to operate water cooling more efficiently and less expensively than traditional land-based facilities and achieve higher environmental standards.</t>
  </si>
  <si>
    <t>cooling system, data center cooling technology, data center service, data center systems, energy efficiency firm, green technology</t>
  </si>
  <si>
    <t>1284503-50</t>
  </si>
  <si>
    <t>Sorbus It</t>
  </si>
  <si>
    <t>Provider of data center and critical infrastructure solutions designed to support secure, uninterrupted, and efficient operations in industrial and corporate environments. The company offers modular data center systems, including cabinets, cooling, power, monitoring, and automation components, enabling clients to reduce operational risks and improve sustainability. It provides integrated building management, energy management, and IoT-based monitoring services, permitting businesses to maintain operational continuity, increase energy efficiency, and centralize control across data centers, industrial facilities, campuses, and multi-building infrastructures.</t>
  </si>
  <si>
    <t>Ankara, Turkey</t>
  </si>
  <si>
    <t>building management system, critical facility management, critical infrastructure, data center cooling, data center infrastructure services, energy management system, micro data center, modular data center</t>
  </si>
  <si>
    <t>481362-22</t>
  </si>
  <si>
    <t>Datum Datacentres</t>
  </si>
  <si>
    <t>Provider of data colocation services to construction and engineering, defense, education, energy, and utilities. The company provides concierge, data center engineering, workplace services as well as break-fix services for client equipment, thereby helping clients lower their carbon footprint and better energy efficiency.</t>
  </si>
  <si>
    <t>Farnborough, United Kingdom</t>
  </si>
  <si>
    <t>data center, data center cooling, data center engineering, data center operator, data center systems, data colocation, data colocation center, data colocation services</t>
  </si>
  <si>
    <t>532119-88</t>
  </si>
  <si>
    <t>Greenergytech</t>
  </si>
  <si>
    <t>Operator of a technology company intended to offer data center cooling solutions. The company specializes in IT operations, SaaS, design development, portable smart data centers, solar energy solutions, smart cities, and project management across various industries, thereby helping in the conversion of wasted mechanical energy into green electrical energy.</t>
  </si>
  <si>
    <t>Ottawa, Canada</t>
  </si>
  <si>
    <t>data center, design development, it operations, portable data storage, saas tool, solar energy solution, technology company</t>
  </si>
  <si>
    <t>1367479-36</t>
  </si>
  <si>
    <t>Munters Frontier Invest</t>
  </si>
  <si>
    <t>Provider of climate control solutions designed to optimize indoor air quality, humidity, and temperature for industrial and agricultural applications. The company develops energy-efficient systems, components, and software, enabling clients in industries such as battery production, data center cooling, and food production to improve operational performance and reduce environmental impact.</t>
  </si>
  <si>
    <t>Kista, Sweden</t>
  </si>
  <si>
    <t>air treatment, cooling &amp; heating, cooling pads, evaporative cooling, farming, mist elimination</t>
  </si>
  <si>
    <t>656153-20</t>
  </si>
  <si>
    <t>Infiniti It</t>
  </si>
  <si>
    <t>The company primarily operates in the IT Consulting and Outsourcing industry. Infiniti It was founded in 2011 and is headquartered in Witney, United Kingdom. Similar Companies include ProTec IT Solutions, Direkt Gruppe, and Cilnet among others.</t>
  </si>
  <si>
    <t>Witney, United Kingdom</t>
  </si>
  <si>
    <t>data center cooling, data center maintenance</t>
  </si>
  <si>
    <t>512297-02</t>
  </si>
  <si>
    <t>Natural Cycle Energy</t>
  </si>
  <si>
    <t>Manufacturer and developer of industrial cooling technology systems intended to create superior energy, environment, security, and human life-sustaining (water, nutrition) technologies and solutions. The company systems offer multistage evaporative cooling systems, turbine inlet air cooling, energy-efficient cooling systems, and real-time data center cooling system, thereby providing solutions for licensees, global partners, customers, and local, regional, national, and global governments with the research, development, engineering, design, and commercialization of innovative technologies and solutions.</t>
  </si>
  <si>
    <t>Mesa, AZ</t>
  </si>
  <si>
    <t>air cooling product, cooling system, cooling technology, data center cooling, evaporative cooling system, green cooling services</t>
  </si>
  <si>
    <t>1057293-37</t>
  </si>
  <si>
    <t>Bkkt - Benrather Kühl- Und Klimatechnologie</t>
  </si>
  <si>
    <t>Provider of air conditioning and refrigeration solutions designed to optimize temperature control in various environments. The company offers planning and execution of systems for server cooling, building climate control, and industrial cooling, serving manufacturing facilities and machine tools. Maintenance and repair services for ventilation and air conditioning systems are also available. Based in Düsseldorf, Germany, the entity operates in the HVAC market, delivering essential cooling solutions to diverse industries.</t>
  </si>
  <si>
    <t>Dusseldorf, Germany</t>
  </si>
  <si>
    <t>286948-90</t>
  </si>
  <si>
    <t>Cool Shield</t>
  </si>
  <si>
    <t>Provider of hot and cold aisle containment systems for data centers. Cool Shield's products include aisle containment panels, doors, strips, curtains, and ceiling panels, as well as accessories such as magnetic cabinet skirts, foam gap seals, and temperature strips. The company also offers professional installation, construction project management, and retrofit containment design services. Aisle containment can improve the efficiency of conventional data center cooling systems and save up to 40% in annual cooling system energy costs. Cool Shield serves customers across North America.</t>
  </si>
  <si>
    <t>Atlanta, GA</t>
  </si>
  <si>
    <t>configuration management software, construction management project, construction management software, construction project management, construction site installation, data management software service, energy efficient construction, energy efficient cooling system, integrated facility management, temperature monitoring system</t>
  </si>
  <si>
    <t>207551-53</t>
  </si>
  <si>
    <t>Excool</t>
  </si>
  <si>
    <t>Manufacturer of advanced data center cooling products intended to design, develop, and deliver innovative, energy-efficient, and effective data center cooling solutions. The company's product line includes indirect evaporative cooling solutions, dry-packaged coolers, free-cooling air-cooled chillers, precision cooling walls, and coolant distribution units (CDU), thus providing low energy consumption, without compromising on reliability and security for all colocation, hyperscale, edge, and AI data centers across the world.</t>
  </si>
  <si>
    <t>Bromsgrove, United Kingdom</t>
  </si>
  <si>
    <t>cooling solutions, data center, data center cooling, data center cooling design, data center equipment, data center hardware</t>
  </si>
  <si>
    <t>905010-04</t>
  </si>
  <si>
    <t>GA Team Services</t>
  </si>
  <si>
    <t>The company primarily operates in the Telecommunications Service Providers industry. GA Team Services was founded in 2010 and is headquartered in Santiago, Chile.</t>
  </si>
  <si>
    <t>Santiago, Chile</t>
  </si>
  <si>
    <t>data center, data center cooling, ip voice, monitoring centres, optical fiber, structured wiring, voice &amp; data</t>
  </si>
  <si>
    <t>549419-50</t>
  </si>
  <si>
    <t>Kaltra</t>
  </si>
  <si>
    <t>Manufacturer of air conditioning and cooling equipment for industrial and commercial markets. Kaltra's products include chillers, evaporative cooling systems, and microchannel heat exchangers, with an emphasis on energy efficiency and environmental sustainability. The German company serves over 1,000 clients in 65 countries worldwide and invests heavily in research and development.</t>
  </si>
  <si>
    <t>Munich, Germany</t>
  </si>
  <si>
    <t>air- and water-cooled chillers, it and data center cooling, microchannel technology, mission critical cooling, precision cooling</t>
  </si>
  <si>
    <t>112754-35</t>
  </si>
  <si>
    <t>Lefdal Mine Datacenter</t>
  </si>
  <si>
    <t>Provider of data processing, hosting, and other related services based in Maloy, Norway. The company operates an eco-friendly data center with tier 3 infrastructure, storage capacity, monitoring, and natural EMP security services, thereby providing low power prices, large local surplus power production, low construction costs, and high ICT competence.</t>
  </si>
  <si>
    <t>Maloy, Norway</t>
  </si>
  <si>
    <t>data center cooling, data center firm, data center network, data center operator, data center service, data center solution, data processing</t>
  </si>
  <si>
    <t>465476-59</t>
  </si>
  <si>
    <t>Midas Immersion Cooling</t>
  </si>
  <si>
    <t>Developer of data center cooling systems intended to maximize server density and reduce carbon footprint. The company's proprietary immersion cooling technology uses a dielectric coolant instead of air, which is more efficient at dissipating heat, enabling data center operators to cut down power usage and reduce the size of many cooling infrastructure components.</t>
  </si>
  <si>
    <t>Austin, TX</t>
  </si>
  <si>
    <t>cooling solutions, cooling system, cooling technology, data center cooling, data center cooling system, data center cooling technology</t>
  </si>
  <si>
    <t>969911-83</t>
  </si>
  <si>
    <t>Alseye</t>
  </si>
  <si>
    <t>Manufacturer of cooling and thermal products based in Shenzhen, China. The company offers server cooling solutions, OEM, DC motors, stamping and aluminum extruded radiators, soldering and hot-plugs, fluid cooling modules, pump body development, sealing, and leak-detection technologies.</t>
  </si>
  <si>
    <t>cooling solution provider, cooling solutions, dc motor, fluid cooling, hardware equipment, liquid cooling products, oem services, system integration product, thermal solutions</t>
  </si>
  <si>
    <t>288592-39</t>
  </si>
  <si>
    <t>EasyBreezy A/C</t>
  </si>
  <si>
    <t>Provider of heating and cooling services for commercial and residential customers in Tampa, FL. Services include repair, maintenance, and installation of HVAC systems, as well as data center cooling. EasyBreezy AC also offers a maintenance program and a food drive to support the local community. The company prioritizes transparency and reliability.</t>
  </si>
  <si>
    <t>New Port Richey, FL</t>
  </si>
  <si>
    <t>commercial construction service, commercial refrigeration systems, contract construction service, heating maintenance services, luxury residential service, maintenance repair services, refrigeration construction, residential construction service, residential home construction, small business marketing</t>
  </si>
  <si>
    <t>90603-37</t>
  </si>
  <si>
    <t>Green Revolution Cooling</t>
  </si>
  <si>
    <t>Developer of fluid submersion cooling systems designed to revolutionize how data centers are designed, built and operated. The company's systems include a white mineral oil formulation for cooling servers and other data center hardware, rack installations, pump modules and computer-controlled primary cooling loops and their unique dielectric fluid coolant eliminates the need for chillers, air conditioners and air handlers, enabling cloud and on-premises data centers to reduce cooling energy and save costs.</t>
  </si>
  <si>
    <t>data center cooling technology, edge computing, energy efficiency, energy savings, immersion cooling, liquid cooling, modular data center</t>
  </si>
  <si>
    <t>630275-59</t>
  </si>
  <si>
    <t>Source UPS</t>
  </si>
  <si>
    <t>Specialist in data center infrastructure solutions for businesses and organizations. Source UPS offers services including data center design, local edge computing, and data center cooling. The company works with industry-leading manufacturers to provide energy-efficient and cost-effective solutions that add reliability, improve efficiency, and reduce downtime. As an independent IT infrastructure specialist, Source UPS provides unbiased advice to clients, assessing their options and designing solutions tailored to their needs.</t>
  </si>
  <si>
    <t>Fleet, United Kingdom</t>
  </si>
  <si>
    <t>edge computing, ups systems</t>
  </si>
  <si>
    <t>622003-51</t>
  </si>
  <si>
    <t>Strategic Clean Technology</t>
  </si>
  <si>
    <t>Developer of data center cooling optimization solutions. SCTi's services are designed to reduce energy costs, minimize carbon footprints, and prevent thermal and power risks. The company offers customized solutions tailored to each data center's unique needs, including assessments, implementations, and monitoring. Their product line includes EkkoSense Critical, Air Containment, Floating Head, and Energy-Cool. SCTi is certified in data center auditing, energy, mechanical engineering, and measurement and verification.</t>
  </si>
  <si>
    <t>airflow management, best practices, cooling capacity, data center, energy consumption reduction, energy efficiency, energy incentive, power monitoring, project management, sustainable energy</t>
  </si>
  <si>
    <t>865854-91</t>
  </si>
  <si>
    <t>Suzhou BlackShields Environment Company</t>
  </si>
  <si>
    <t>Manufacturer of cooling systems intended for telecom, power grid, finance, renewable energy, transportation, and the automation industry. The company offers telecom cabinet cooling, battery storage cooling products, industrial cabinet cooling, transport refrigerators, climate control systems, data center cooling products, and more.</t>
  </si>
  <si>
    <t>Suzhou, China</t>
  </si>
  <si>
    <t>battery cooling system, climate control systems, cooling system product, cooling system technologies, data center cooling, industrial coolers, transport refrigerator</t>
  </si>
  <si>
    <t>647328-25</t>
  </si>
  <si>
    <t>Vobyte Automatisering</t>
  </si>
  <si>
    <t>Vobyte B.V. is an IT consultancy and service provider offering a range of services for businesses. Their expertise includes IT architecture, cybersecurity, cloud solutions, and hardware services. They specialize in large technology projects, global cloud infrastructures, and structural IT infrastructure. In addition, they offer wholesale and refurbished hardware, as well as server cooling solutions. The company has multiple offices and test centers to better serve their clients.</t>
  </si>
  <si>
    <t>Haarlem, Netherlands</t>
  </si>
  <si>
    <t>azure stack</t>
  </si>
  <si>
    <t>282651-13</t>
  </si>
  <si>
    <t>Bani Bands Headbands</t>
  </si>
  <si>
    <t>Developer and distributor of headbands and multifunction gaiters for sports, fashion, and cooling. The entity offers a variety of headbands, including non-slip adjustable headbands, sweat-wicking wide headbands, and cooling headbands and scarves, as well as multifunction gaiters and face covers. Wholesale and team pricing available for qualified retail outlets.</t>
  </si>
  <si>
    <t>Gardnerville, NV</t>
  </si>
  <si>
    <t>body temperature, custom workout, data center cooling, email interactions, information center, information device, other consumer, performance feedback, retail pricing, wholesale market</t>
  </si>
  <si>
    <t>597245-95</t>
  </si>
  <si>
    <t>Fiberoptiq</t>
  </si>
  <si>
    <t>Developer of liquid-submerged server technology designed for data centers. The company's technology cools off-the-shelf electronics of any shape or size in data center applications, enabling clients to get a liquid cooling system that is more effective than traditional air cooling.</t>
  </si>
  <si>
    <t>Los Angeles, CA</t>
  </si>
  <si>
    <t>air cooling systems, cooling system, data center cooling, data center management, data center technology, liquid cooling, liquid cooling system, server infrastructure, server rooms</t>
  </si>
  <si>
    <t>568199-98</t>
  </si>
  <si>
    <t>Ning Research | Fea &amp; Cfd Professional</t>
  </si>
  <si>
    <t>Provider of engineering simulation and consulting services designed to support mechanical, aerospace, offshore, and environmental applications. The company offers finite element analysis, computational fluid dynamics, fluid-structure interaction, noise simulation, and software development using specialized tools and multidisciplinary expertise, enabling clients to optimize designs, ensure compliance, and improve efficiency across manufacturing, offshore engineering, and data center industries.</t>
  </si>
  <si>
    <t>data center cooling design, engineering consulting, fatigue life optimization, gas explosion dispersions &amp; fire by flacs-cfd, pipes surge &amp; stress by caesar-ii, shocks &amp; vibration analysis, wind drive rain analysis</t>
  </si>
  <si>
    <t>812059-39</t>
  </si>
  <si>
    <t>Profile Data Center Solutions</t>
  </si>
  <si>
    <t>Provider of data center infrastructure and cooling solutions, intended to offer effective solutions to meet customer demands. The company offers security cage solutions, computational fluid dynamics, and air flow system management, heat load banks for clients, enabling clients to enhance their business operations.</t>
  </si>
  <si>
    <t>Mumbai, India</t>
  </si>
  <si>
    <t>air flow system, computational fluid dynamics, cooling solutions, data center cooling, data center infrastructure, security solutions</t>
  </si>
  <si>
    <t>569874-70</t>
  </si>
  <si>
    <t>Server Cooling Systems</t>
  </si>
  <si>
    <t>Manufacturer of server cooling systems and IT climate control solutions, catering to data centers and other IT facilities. The company offers a range of products like precision climate cabinets, cold water climate cabinets, and compact cooling units. Additionally, they provide custom-built precision climate cabinets and optimization services. The website includes certification and privacy policy information.</t>
  </si>
  <si>
    <t>Oldenburg, Germany</t>
  </si>
  <si>
    <t>551930-41</t>
  </si>
  <si>
    <t>Primaria</t>
  </si>
  <si>
    <t>Manufacturer of customized air treatment solutions for industries. The company's focus is on producing energy-saving technical solutions to treat air, with a strong emphasis on meeting the specific needs of each customer. With over two decades of experience, the company collaborates with designers, consultants, and installers to create tailored solutions that adhere to system conditions. The company offers unique products and has acquired extensive know-how in the field.</t>
  </si>
  <si>
    <t>Mestrino, Italy</t>
  </si>
  <si>
    <t>air conditioning, air handling unit, cabinets coolers, data center cooling, heat pump, high density coolers, process industry cooling, rearing doors coolers, telecommunication cooling</t>
  </si>
  <si>
    <t>292648-06</t>
  </si>
  <si>
    <t>Frontrange Construction</t>
  </si>
  <si>
    <t>Small business general and mechanical contractor based in Colorado Springs, Colorado, specializing in mechanical, electrical, and plumbing contracting for commercial projects. The entity holds certifications with the SBA and city and county of Denver, and complies with the Davis-Bacon Act and Buy American Act. They have experience working on government projects, including cooling tower replacements, chiller replacements, and data center cooling facilities.</t>
  </si>
  <si>
    <t>Colorado Springs, CO</t>
  </si>
  <si>
    <t>customer service technology, general contractor, project completion services, project leadership, right skills, service delivery software, software technology service, technology software service, technology support service</t>
  </si>
  <si>
    <t>326956-87</t>
  </si>
  <si>
    <t>telecomp of central florida</t>
  </si>
  <si>
    <t>Provider of mission-critical data center cooling solutions, power protection, and gas detection services. TeleComp offers a range of products and services including Data Center Design, Honeywell Analytics Design, Honeywell Analytics Services, and Mitsubishi Electric UPS Services. Their product line includes STULZ Computer Room Air Conditioning, Mitsubishi Electric Power Solutions, and Li-ion Tamer safety products. They also provide gas monitoring and exhaust control systems for various gases. Located in Orlando, FL, TeleComp has been in business since 2003.</t>
  </si>
  <si>
    <t>Orlando, FL</t>
  </si>
  <si>
    <t>commercial services, cooling solutions, customer information systems, customer support systems, data center cooling, information protection services, mission critical, mission critical information, mission critical service, residential power</t>
  </si>
  <si>
    <t>816189-49</t>
  </si>
  <si>
    <t>Air Conditioning &amp; Environmental Services</t>
  </si>
  <si>
    <t>Operator of air conditioning and refrigeration solutions for temperature control and storage needs. The company provides installation, maintenance, portable hire, and repair services, offering office cooling, data center cooling, cold storage, and process refrigeration systems. Serving commercial, industrial, and domestic sectors in Buckinghamshire and surrounding areas, the company complies with F-Gas regulations.</t>
  </si>
  <si>
    <t>Aylesbury, United Kingdom</t>
  </si>
  <si>
    <t>air conditioning, air conditioning supply</t>
  </si>
  <si>
    <t>559439-92</t>
  </si>
  <si>
    <t>EcoCooling</t>
  </si>
  <si>
    <t>Manufacturer and distributor of air cooling systems intended for designing and producing evaporative coolers. The company offers products such as warehouse cooling systems, factory cooling systems, data center cooling, crypto mining cooling systems, gym and leisure cooling, office cooling systems, and more, helping industrial and warehouse, datacenters and IT, providing design advice, installation, and maintenance services for clients worldwide.</t>
  </si>
  <si>
    <t>Edmunds, United Kingdom</t>
  </si>
  <si>
    <t>adiabatic cooling, airflow management, bitcoin mining, cooling system design, cryptocurrency mining, data center cooling, evaporative cooling, green data center, industrial cooling, public sector, rapid deployment, ventilation system</t>
  </si>
  <si>
    <t>734721-49</t>
  </si>
  <si>
    <t>Chil-Pak</t>
  </si>
  <si>
    <t>The company primarily operates in the Construction and Engineering industry. Chil-Pak was founded in 2001 and is headquartered in El Paso, TX.</t>
  </si>
  <si>
    <t>El Paso, TX</t>
  </si>
  <si>
    <t>data center cooling</t>
  </si>
  <si>
    <t>52939-90</t>
  </si>
  <si>
    <t>CoolIT Systems</t>
  </si>
  <si>
    <t>Manufacturer of computer hardware products designed for high-performance computing, cloud, and enterprise markets. The company offers a range of cooling devices and electronic cooling systems through patented split-flow technologies for the data center and desktop, enabling its clients to avail of enhanced rack densities, component performance, and power efficiencies.</t>
  </si>
  <si>
    <t>Calgary, Canada</t>
  </si>
  <si>
    <t>computer cooling system, cooling system, cooling technology, cooling technology systems, data center cooling, electronic cooling system, liquid cooling system</t>
  </si>
  <si>
    <t>1379968-75</t>
  </si>
  <si>
    <t>GeoComfort</t>
  </si>
  <si>
    <t>The company primarily operates in the Electrical Equipment industry. GeoComfort was founded in 2000 and is headquartered in Wichmond, Netherlands.</t>
  </si>
  <si>
    <t>Wichmond, Netherlands</t>
  </si>
  <si>
    <t>data center cooling, heat pump, soil energy</t>
  </si>
  <si>
    <t>654580-36</t>
  </si>
  <si>
    <t>PQS Mission Critical</t>
  </si>
  <si>
    <t>Operator of mission critical infrastructure services in the Southeastern United States. PQS offers mechanical, electrical, and software products related to power and cooling for various markets. Services include design support, post-warranty service, turn-key upfits, full service contracts, maintenance, parts and upgrades, IR scanning, and UPS power rental options. The company has a team of experienced professionals.</t>
  </si>
  <si>
    <t>Charlotte, NC</t>
  </si>
  <si>
    <t>data center cooling, lighting inverters, power management solutions, surge suppression, uninterruptible power supplies</t>
  </si>
  <si>
    <t>288737-74</t>
  </si>
  <si>
    <t>Douglas Blome Engineering Inc. Ps</t>
  </si>
  <si>
    <t>Consultancy specializing in sustainability and digital transformation for large companies. Services include sustainability efforts, net zero commitments, decarbonization, energy management, and data analytics. The company also implements building intelligence systems and works closely with each client.</t>
  </si>
  <si>
    <t>Redmond, WA</t>
  </si>
  <si>
    <t>company data, cooling services, cooling solutions, corporate campus, corporate data, data center campus, data center cooling, data center service, large data, service center</t>
  </si>
  <si>
    <t>1320448-24</t>
  </si>
  <si>
    <t>KS Kälte-Klima-Lüftungstechnik</t>
  </si>
  <si>
    <t>Provider of customized cooling, ventilation, and heating solutions designed to improve indoor climate for residential, commercial, and medical applications. The company offers tailored climate control systems, including office air conditioning, data center cooling, industrial refrigeration, and cleanroom ventilation, enabling clients to maintain optimal environmental conditions and enhance health, comfort, and operational efficiency.</t>
  </si>
  <si>
    <t>Bad Kreuznach, Germany</t>
  </si>
  <si>
    <t>212948-83</t>
  </si>
  <si>
    <t>Sk-Kältetechnik</t>
  </si>
  <si>
    <t>Provider of customized server cooling solutions for data centers and server rooms. SK-Kältetechnik offers geothermal cooling, direct free cooling, and energy efficiency analysis. The company also provides maintenance and installation services from its headquarters in Ratingen, Germany, and central warehouse in Frechen.</t>
  </si>
  <si>
    <t>Ratingen, Germany</t>
  </si>
  <si>
    <t>543326-50</t>
  </si>
  <si>
    <t>Skyline Air Conditioning</t>
  </si>
  <si>
    <t>Designer and installer of air conditioning systems for various applications. Skyline Air Conditioning specializes in air and water source heat pump systems, VRF/VRV systems, data center cooling, and F-Gas compliance. The company holds certifications related to quality, environmental management, and safety.</t>
  </si>
  <si>
    <t>Stockport, United Kingdom</t>
  </si>
  <si>
    <t>air conditioning, close control</t>
  </si>
  <si>
    <t>364832-02</t>
  </si>
  <si>
    <t>E3 Nv</t>
  </si>
  <si>
    <t>Manufacturer of liquid immersion cooling systems intended to serve the data center, cryptocurrency mining, and edge computing sectors. The company offers a comprehensive range of dual-phase immersion cooling tanks and modular infrastructure that eliminate the need for traditional air-cooling components such as fans and heatsinks, while significantly reducing power consumption, enabling data center operators to achieve higher hardware density and improved operational reliability through advanced dielectric fluid technology.</t>
  </si>
  <si>
    <t>Skiatook, OK</t>
  </si>
  <si>
    <t>cooling process equipment, data center cooling, data center infra, data center technology, immersion cooling, liquid cooling</t>
  </si>
  <si>
    <t>870227-38</t>
  </si>
  <si>
    <t>Holborn Projects</t>
  </si>
  <si>
    <t>Provider of commercial air conditioning and data center cooling solutions, designed to maintain optimal temperature control. The company specializes in the design, installation, maintenance, and servicing of air conditioning systems for commercial and temperature-critical environments, serving clients across various sectors. They also offer mains power upgrades and R22 refrigerant replacement solutions.</t>
  </si>
  <si>
    <t>Sutton Coldfield, United Kingdom</t>
  </si>
  <si>
    <t>electrical installation</t>
  </si>
  <si>
    <t>548011-99</t>
  </si>
  <si>
    <t>Geotherm Energy Systems</t>
  </si>
  <si>
    <t>Provider of sustainable energy supply solutions for project developers, installers, and building owners. Geotherm Energy Systems offers ground energy, solar energy, and data center cooling services, including maintenance, management, and monitoring. With 23 years of experience in the industry and a focus on innovative technologies, the company aims to provide comprehensive solutions that meet clients' needs. Geotherm Energy Systems is a pioneer in the sustainable energy industry, established in 1997, and offers assistance with any issues or problems that may arise.</t>
  </si>
  <si>
    <t>Spakenburg, Netherlands</t>
  </si>
  <si>
    <t>data center cooling, heat cold storage, heat pump, heat pumping equipment, soil energy, solar energy, solar panels</t>
  </si>
  <si>
    <t>240465-43</t>
  </si>
  <si>
    <t>Kwikool</t>
  </si>
  <si>
    <t>Developer of cooling and air purification solutions for diverse industries and settings. The company offers portable cooling systems, air purifiers, and high-capacity ACs for server cooling, industrial processes, healthcare, and outdoor events.</t>
  </si>
  <si>
    <t>Stafford, TX</t>
  </si>
  <si>
    <t>air conditioner, commercial clients, cooling equipment, cooling system, environment friendly product, equipment maintenance service, technology maintenance service, water purification technology</t>
  </si>
  <si>
    <t>261719-65</t>
  </si>
  <si>
    <t>42U</t>
  </si>
  <si>
    <t>Provider of data center services committed to help its clients for their data center infrastructure and energy efficiency needs. The company offers services including data center cooling, power, environmental monitoring, server cabinet enclosures and rack mount products.</t>
  </si>
  <si>
    <t>Lafayette, CO</t>
  </si>
  <si>
    <t>application delivery infrastructure, customer relationship management application, customer relationship management solutions, data center experts, data center infrastructure, data center infrastructure management, energy efficiency equipment, energy efficiency solutions, energy efficiency technology, equipment infrastructure, technology infrastructure management</t>
  </si>
  <si>
    <t>314141-68</t>
  </si>
  <si>
    <t>AIRSYS ( Electronic Equipment and Instruments)</t>
  </si>
  <si>
    <t>Manufacturer of cooling solutions and air quality systems intended to offer cooling solutions for critical infrastructure and industries. The company provides telecom center cooling solutions, data center cooling solutions, school air solutions, and battery storage cooling solutions, thereby helping clients with reliable, cost-effective data center cooling solutions.</t>
  </si>
  <si>
    <t>Greer, SC</t>
  </si>
  <si>
    <t>cooling equipment, cooling equipment dealer, cooling equipment supplier, cooling equipment system, cooling solution provider, cooling solutions</t>
  </si>
  <si>
    <t>143513-92</t>
  </si>
  <si>
    <t>Alcatex</t>
  </si>
  <si>
    <t>Operator of a data center design and data center construction company intended to build energy-efficient data centers. The company offers various services such as backup generator solutions, data center cooling, data center consulting, data center decommissioning, data center design, edge data centers, energy-efficient upgrades, and many more.</t>
  </si>
  <si>
    <t>Royse City, TX</t>
  </si>
  <si>
    <t>backup generator installation, backup power solutions, data center, data center construction, data center design, waste management</t>
  </si>
  <si>
    <t>925509-88</t>
  </si>
  <si>
    <t>Aralube</t>
  </si>
  <si>
    <t>Manufacturer of specialty lubricants and chemical products designed to enhance industrial metalworking processes. The company formulates and produces metalworking fluids, including plant-based coolants, specialty greases, dielectric silicone fluids for data center cooling, hydraulic oils, and mold release agents, serving industrial markets such as automotive spare parts manufacturing, machining, construction, and data center operations. The company operates under ISO9001 quality standards.</t>
  </si>
  <si>
    <t>Johor Bahru, Malaysia</t>
  </si>
  <si>
    <t>oil and gas</t>
  </si>
  <si>
    <t>379884-79</t>
  </si>
  <si>
    <t>Climatisation Airvitech</t>
  </si>
  <si>
    <t>Operator of residential and commercial air conditioning services designed to improve indoor climate control. The company offers air conditioning installation, repair, and maintenance, as well as data center cooling solutions, serving clients in Montreal.</t>
  </si>
  <si>
    <t>Dorval, Canada</t>
  </si>
  <si>
    <t>396957-43</t>
  </si>
  <si>
    <t>Quality Applied Systems</t>
  </si>
  <si>
    <t>Designer and seller of environmental engineering and HVAC solutions for climate control and air quality management. The company develops commercial HVAC systems, data center cooling systems, and indoor aquatic environment solutions, serving schools, office buildings, and industrial facilities. It operates from Indiana with offices in Fort Wayne and Indianapolis, offering equipment sales, warranty support, and parts ordering services.</t>
  </si>
  <si>
    <t>Fort Wayne, IN</t>
  </si>
  <si>
    <t>138820-42</t>
  </si>
  <si>
    <t>Daxten</t>
  </si>
  <si>
    <t>Provider of data center cooling optimization intended to improve the resource efficiency and reliability of the data center. The company offers power distribution, monitoring and infrastructure services, enabling clients to get the services as per their needs.</t>
  </si>
  <si>
    <t>building management system, data monitoring system, environmental monitoring firm, environmental monitoring solution, infrastructure services, power management system</t>
  </si>
  <si>
    <t>397120-33</t>
  </si>
  <si>
    <t>Monitoring Management</t>
  </si>
  <si>
    <t>Provider of infrastructure solutions for industrial, healthcare, and data center applications. The company offers data center cooling systems, raised access flooring, power quality equipment, and custom air handlers, serving businesses in need of efficient and reliable infrastructure. Its services include installation, maintenance, and consulting, with expertise in energy recovery systems, ultrasonic humidification, and ultraviolet disinfection solutions.</t>
  </si>
  <si>
    <t>144054-91</t>
  </si>
  <si>
    <t>Prosource Technical Service</t>
  </si>
  <si>
    <t>Provider of data center cleaning services intended to help data centers keep their critical areas clean and free of contamination. The company provides nationwide cleaning services for data centers, including subfloor plenum cleaning, raised floor cleaning, exterior equipment cleaning, interior cabinet cleaning, overhead raceway cleaning, and ceiling plenum cleaning, and also offers products for data center cooling, power, and flooring management and monitoring.</t>
  </si>
  <si>
    <t>Aiken, SC</t>
  </si>
  <si>
    <t>data center, data center cleaning, data center cooling, data center monitoring, data center optimization, data center power management, data infrastructure, design data, it company</t>
  </si>
  <si>
    <t>495326-53</t>
  </si>
  <si>
    <t>Golvbolaget Stockholm</t>
  </si>
  <si>
    <t>Installer of flooring and cooling solutions for data centers, offices, and facilities. Golvbolaget Stockholm AB offers installation flooring, climate flooring, and data center cooling systems, as well as project management, installation, and maintenance services. The company has been operating since 1989 and serves clients in construction, property management, and government sectors.</t>
  </si>
  <si>
    <t>Taby, Sweden</t>
  </si>
  <si>
    <t>wall covering</t>
  </si>
  <si>
    <t>293462-74</t>
  </si>
  <si>
    <t>Green Earth Data</t>
  </si>
  <si>
    <t>The company primarily operates in Energy. Green Earth Data was founded in 1992 and is headquartered in New York, NY.</t>
  </si>
  <si>
    <t>clean energy support, data center cooling, data center efficiency, data center network, green energy services, network bandwidth, social network data, social responsibility, technological support, technological system</t>
  </si>
  <si>
    <t>824969-26</t>
  </si>
  <si>
    <t>Intramech</t>
  </si>
  <si>
    <t>Distributor of commercial and industrial air conditioning, cooling, and heating equipment based in Cape Town, South Africa. The company offers product information, absorption chillers, chillers, commercial heat pumps, chilled and hot water fan coil units, package units, AHU, residential heat pumps, systems for ICT data centers, and telecom cooling and thermal storage.</t>
  </si>
  <si>
    <t>Cape Town, South Africa</t>
  </si>
  <si>
    <t>air conditioner firm, air conditioning device, air conditioning products, chillers equipment, data center cooling, thermal storage</t>
  </si>
  <si>
    <t>524953-00</t>
  </si>
  <si>
    <t>Hans Güntner Gesellschaft M.B.H.</t>
  </si>
  <si>
    <t>Manufacturer of cooling systems and refrigeration solutions designed for commercial and industrial applications. The company offers air coolers, dry coolers, condensers, and IoT controls, serving global markets with manufacturing facilities in Europe, Asia, and the Americas. Their products are utilized in HVAC and data center cooling, ensuring efficient temperature management across various industries.</t>
  </si>
  <si>
    <t>Vienna, Austria</t>
  </si>
  <si>
    <t>629057-98</t>
  </si>
  <si>
    <t>Apac Airconditioning | Raised Floors | Services</t>
  </si>
  <si>
    <t>Provider of climate control and raised floor installation services designed to maintain optimal conditions in data centers and server rooms. The company specializes in installing and maintaining cooling systems and raised floors, enabling large data centers to manage airflow and ensure reliable IT system operation.</t>
  </si>
  <si>
    <t>Utrecht, Netherlands</t>
  </si>
  <si>
    <t>906967-54</t>
  </si>
  <si>
    <t>Universal Engineering Systems</t>
  </si>
  <si>
    <t>The company primarily operates in the Real Estate Services (B2C) industry. Universal Engineering Systems was founded in 1987 and is headquartered in Nairobi, Kenya.</t>
  </si>
  <si>
    <t>Nairobi, Kenya</t>
  </si>
  <si>
    <t>air conditioning, data center cooling, east africa, energy saving, healthy air, luxury interiors, mechanical engineering, residential air conditioning</t>
  </si>
  <si>
    <t>564748-48</t>
  </si>
  <si>
    <t>Josef Wagner</t>
  </si>
  <si>
    <t>Operator of plumbing, heating, and air conditioning services in Munich, Germany. The company offers services for both commercial and residential buildings, with over 40 years of industry experience. Their services include plumbing installations, heating systems, air conditioning and server cooling, and repairs.</t>
  </si>
  <si>
    <t>368739-37</t>
  </si>
  <si>
    <t>Northstar Technical Services</t>
  </si>
  <si>
    <t>Provider of power protection and data center infrastructure solutions. The company offers power protection products, data center cooling equipment, turnkey installations, project management, factory service plans, remedial service work, and battery replacement for UPS systems, serving education, government, media, and commercial businesses globally.</t>
  </si>
  <si>
    <t>Hollywood, FL</t>
  </si>
  <si>
    <t>60717-16</t>
  </si>
  <si>
    <t>Swegon Group</t>
  </si>
  <si>
    <t>Manufacturer of efficient ventilation and indoor climate products and systems intended to improve sustainable indoor comfort. The company's products include chillers, heat pumps, data center cooling systems, demand-controlled ventilation systems and fans, enabling customers to get affordable indoor climate control devices that can be customized and adapted to suit their needs.</t>
  </si>
  <si>
    <t>indoor climate systems, indoor environment, indoor environment sensor, ventilation device, ventilation unit, ventillation service</t>
  </si>
  <si>
    <t>228464-02</t>
  </si>
  <si>
    <t>Frigel (Machinery)</t>
  </si>
  <si>
    <t>Manufacturer and provider of cooling and temperature control products and solutions catering to several industries including plastic and rubber, food and beverage, power generation and transmission, data centers, chemical and pharmaceuticals, metals, and others. The company offers a wide range of solutions such as gas turbine air cooling, technical molding, pumping stations and accessories, water temperature control units, portable chillers, digital control devices, and much more.</t>
  </si>
  <si>
    <t>Florence, Italy</t>
  </si>
  <si>
    <t>cooling system, data center cooling, machinery manufacturing, portable chillers, process cooling, temperature control</t>
  </si>
  <si>
    <t>12271-60</t>
  </si>
  <si>
    <t>CST Industries</t>
  </si>
  <si>
    <t>Manufacturer of metal storage tanks and silos, aluminum domes and specialty covers for renewable energy, water/wastewater, data centers, agriculture, petrochemical, transportation, architecture, and bulk materials industries. The company's platform offers sectional bolted tanks (glass &amp; epoxy), factory-welded tanks, and aluminum geodesic domes, as well as bioenergy storage products, enabling customers to solve storage challenges and reach profitability by providing creatively engineered storage and cover systems.</t>
  </si>
  <si>
    <t>Kansas City, MO</t>
  </si>
  <si>
    <t>aluminum covers, aluminum domes, anaerobic digester, bolted tank, data center cooling water storage, manufacturer firm, municipal water storage tanks, storage product provider, storage products, storage solutions firm, storage tank manufacturer, storage tank manufacturing, wastewater solution provider</t>
  </si>
  <si>
    <t>522689-23</t>
  </si>
  <si>
    <t>54 Megawatts Sustainable Data Center (Kraftwerke Mainz-Wiesbaden / Green Mountain)</t>
  </si>
  <si>
    <t>Operator of a sustainable data center site based in Mainz, Germany. The joint venture is powered by low-cost, 100 percent renewable power and the use of free cooling, thus ensuring high energy efficiency.</t>
  </si>
  <si>
    <t>Mainz, Germany</t>
  </si>
  <si>
    <t>data center cooling, data center security, renewable energy, renewable hydropower, renewable power, sustainable energy</t>
  </si>
  <si>
    <t>281224-00</t>
  </si>
  <si>
    <t>Always Power</t>
  </si>
  <si>
    <t>Provider of standby power and cooling solutions for critical applications in data centers, commercial, telecommunications, scientific, and industrial sectors. Always Power offers a range of products including Uninterruptible Power Systems (UPS), generators, cooling solutions, computer room flooring, and battery replacements from leading manufacturers. The company has offices in Colorado, West Texas, and New Mexico, and specializes in solar panel systems and refurbished and pre-owned equipment.</t>
  </si>
  <si>
    <t>Boulder, CO</t>
  </si>
  <si>
    <t>battery solutions, commercial services, computer application, cooling solutions, data application, data center cooling, scientific data, sourcing application, standby generator</t>
  </si>
  <si>
    <t>287634-61</t>
  </si>
  <si>
    <t>Commercialtech</t>
  </si>
  <si>
    <t>Mechanical contractor specializing in commercial HVAC and refrigeration equipment installation and repair. Services include repair and installation of boilers, chillers, cooling towers, and data center cooling, as well as mechanical and electrical engineering services. The company employs factory-certified technicians with the highest level of HVAC knowledge, experience, and education, and offers emergency service 24/7. Certified through HVAC organizations such as NAPE and NATE, they specialize in servicing commercial clients and offer energy-efficient solutions. Headquartered in Manassas, VA, with locations in Maryland and Washington DC.</t>
  </si>
  <si>
    <t>Manassas, VA</t>
  </si>
  <si>
    <t>commercial equipment, commercial maintenance, equipment maintenance, equipment maintenance service, field equipment, hvac equipment, maintenance equipment</t>
  </si>
  <si>
    <t>442347-67</t>
  </si>
  <si>
    <t>Cool Systems</t>
  </si>
  <si>
    <t>Developer of an oil-cooled blade server system intended to provide cooling to servers without conventional air cooling. The company's cooling system offers to cool the server blades with a special oil with full immersion, enabling commercial private data centers to deploy fast and low-cost data centers.</t>
  </si>
  <si>
    <t>Moscow, Russia</t>
  </si>
  <si>
    <t>air cooling systems, cooling technology, data center coolers, data center cooling, hosting data center, server cooling system</t>
  </si>
  <si>
    <t>864330-58</t>
  </si>
  <si>
    <t>Glacian Technologies</t>
  </si>
  <si>
    <t>Developer of data center cooling software designed to create smart, automated, and energy-efficient data centers that support the digital economy while minimizing their environmental footprint. The company is developing an ai-powered software for rapid cooling system prototyping, aiming to efficiently minimize cooling demand while integrating automatic compliance checks for optimal performance and regulatory adherence and also provides smart cooling optimization that leverages artificial intelligence and machine learning techniques to dynamically manage cooling system, helping clients enhance operational efficiencies, streamline it expansion, and promote cooling effectiveness.</t>
  </si>
  <si>
    <t>PA</t>
  </si>
  <si>
    <t>compliance checking, cooling system, data center cooling, data center cooling design, data center cooling system, data center cooling technology</t>
  </si>
  <si>
    <t>1313253-10</t>
  </si>
  <si>
    <t>GT Mechanical AZ</t>
  </si>
  <si>
    <t>The company primarily operates in the Construction and Engineering industry. GT Mechanical AZ is headquartered in Phoenix, AZ.</t>
  </si>
  <si>
    <t>Phoenix, AZ</t>
  </si>
  <si>
    <t>commercial hvac systems, commercial plumbing, critical environment, customer service, data center cooling, hydronic piping, leak detection, mechanical systems, refrigeration piping, welding and fabrication</t>
  </si>
  <si>
    <t>807567-67</t>
  </si>
  <si>
    <t>Icebox Energy</t>
  </si>
  <si>
    <t>Operator of a data center cooling platform designed to meet the demands of an advanced computing system. The company offers system cooling services, precision control, and seamless integration services, enabling clients to enhance their business operations.</t>
  </si>
  <si>
    <t>Petaluma, CA</t>
  </si>
  <si>
    <t>cooling solutions, cooling technology, data center cooling, data center design, data center maintenance, precision cooling</t>
  </si>
  <si>
    <t>898619-23</t>
  </si>
  <si>
    <t>Info-Cool</t>
  </si>
  <si>
    <t>Provider of liquid-based thermal management services intended for cooling electronic computing equipment. The company offers dielectric-fluid-based cooling technology, including fluid formulations, circulation and thermal-transfer components, and more.</t>
  </si>
  <si>
    <t>data center cooling, dielectric fluid, heat dissipation systems, immersion cooling, liquid cooling technology, thermal management</t>
  </si>
  <si>
    <t>564385-06</t>
  </si>
  <si>
    <t>Jaeggi</t>
  </si>
  <si>
    <t>Provider of engineered cooling solutions designed to improve performance, efficiency, and hygiene across industries and environments. The company specializes in hybrid and adiabatic cooling systems for data centers, food and beverage, energy assets, and other critical facilities. It provides customized, low-noise, and water-efficient cooling solutions, enabling customers to maintain stable operations and comply with regulatory and sustainability requirements.</t>
  </si>
  <si>
    <t>Basel, Switzerland</t>
  </si>
  <si>
    <t>adiabatic cooling, compressorless cooling, data center cooling, efficient cooling, hybrid cooling, it cooling, process cooling</t>
  </si>
  <si>
    <t>499303-90</t>
  </si>
  <si>
    <t>Mee Industries</t>
  </si>
  <si>
    <t>Manufacturer of Fogg machinery used worldwide to humidify and cool industrial, commercial and agricultural processes, and create dynamic special effects. The company offers data center cooling, server farm, data warehouse, computer room, gas turbine cooling, HVAC, humidification &amp; climate control, special effects and water treatment</t>
  </si>
  <si>
    <t>Irwindale, CA</t>
  </si>
  <si>
    <t>fogg machinery, fogging equipment, fogging product, fogging services, fogging solution provider, fogging systems</t>
  </si>
  <si>
    <t>633818-80</t>
  </si>
  <si>
    <t>SG-THERM Klíma KFT.</t>
  </si>
  <si>
    <t>Operator of air conditioning services in Miskolc, Hungary, offering installation, maintenance, repair, rental, leak testing, and server cooling. The entity provides multiple brands of air conditioning systems, including inverter models.</t>
  </si>
  <si>
    <t>Malyi, Hungary</t>
  </si>
  <si>
    <t>1167631-57</t>
  </si>
  <si>
    <t>Stellar Energy (Digital Business)</t>
  </si>
  <si>
    <t>Provider of turnkey liquid-to-chip data center cooling services based in Jacksonville, Florida. The company designs and builds modular cooling plants, central utility plants, and coolant distribution units for liquid-cooled data centers and other complex corporate enterprises.</t>
  </si>
  <si>
    <t>Jacksonville, FL</t>
  </si>
  <si>
    <t>cooling service provider, cooling services, cooling solutions, cooling solutions provider, data center cooling, data center cooling technology</t>
  </si>
  <si>
    <t>655303-51</t>
  </si>
  <si>
    <t>THIELE Kältetechnik</t>
  </si>
  <si>
    <t>Specializing in climate and ventilation technology services, Thiele Kältetechnik operates in Düsseldorf, Germany. The entity offers customized solutions for cooling and air conditioning needs across various industries, public institutions, and private households. Services offered include consultation, planning, installation, maintenance, and inspection of air conditioning systems, refrigeration equipment, cold rooms, and ventilation systems, including server cooling. With 48 years of experience, Thiele Kältetechnik serves multiple locations in North Rhine-Westphalia.</t>
  </si>
  <si>
    <t>© PitchBook Data, Inc.  2026</t>
  </si>
  <si>
    <t>All data copyright PitchBook Data, Inc.</t>
  </si>
  <si>
    <t>For customized data reports and analyses, contact us at:</t>
  </si>
  <si>
    <t>support@pitchbook.com</t>
  </si>
  <si>
    <t xml:space="preserve">This document and its contents may only be used or shared as permitted in </t>
  </si>
  <si>
    <t>the PitchBook subscription agreement.</t>
  </si>
  <si>
    <t>Subject to limited exceptions, this document may not be used or stored following the termination of your agreement with PitchBook.</t>
  </si>
  <si>
    <t>If you have any further questions or concerns, please contact client services at:</t>
  </si>
  <si>
    <t>US</t>
  </si>
  <si>
    <t>+1 (206) 257-7775</t>
  </si>
  <si>
    <t>UK</t>
  </si>
  <si>
    <t>+44 (0)203 875 3504</t>
  </si>
  <si>
    <t>SG</t>
  </si>
  <si>
    <t>+65 6016 4771</t>
  </si>
  <si>
    <t>Or by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</si>
</sst>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
  </numFmts>
  <fonts count="13" x14ac:knownFonts="1">
    <font>
      <sz val="11"/>
      <color theme="1"/>
      <name val="Calibri"/>
      <family val="2"/>
      <scheme val="minor"/>
    </font>
    <font>
      <sz val="8"/>
      <color rgb="FF000000"/>
      <name val="Open Sans"/>
      <family val="2"/>
    </font>
    <font>
      <b/>
      <sz val="8"/>
      <color rgb="FF000000"/>
      <name val="Open Sans"/>
      <family val="2"/>
    </font>
    <font>
      <b/>
      <sz val="8"/>
      <color rgb="FF26649E"/>
      <name val="Open Sans"/>
      <family val="2"/>
    </font>
    <font>
      <b/>
      <sz val="16"/>
      <color rgb="FF000000"/>
      <name val="Open Sans"/>
      <family val="2"/>
    </font>
    <font>
      <b/>
      <sz val="8"/>
      <color rgb="FFFFFFFF"/>
      <name val="Open Sans"/>
      <family val="2"/>
    </font>
    <font>
      <sz val="8"/>
      <color rgb="FF000000"/>
      <name val="Open Sans"/>
      <family val="2"/>
    </font>
    <font>
      <sz val="8"/>
      <color rgb="FF26649E"/>
      <name val="Open Sans"/>
      <family val="2"/>
    </font>
    <font>
      <b/>
      <sz val="8"/>
      <color rgb="FF000000"/>
      <name val="Open Sans"/>
      <family val="2"/>
    </font>
    <font>
      <b/>
      <sz val="8"/>
      <color rgb="FF26649E"/>
      <name val="Open Sans"/>
      <family val="2"/>
    </font>
    <font>
      <b/>
      <sz val="14"/>
      <color rgb="FF000000"/>
      <name val="Open Sans"/>
      <family val="2"/>
    </font>
    <font>
      <i/>
      <sz val="10"/>
      <color rgb="FF000000"/>
      <name val="Open Sans"/>
      <family val="2"/>
    </font>
    <font>
      <i/>
      <sz val="10"/>
      <color rgb="FF26649E"/>
      <name val="Open Sans"/>
      <family val="2"/>
    </font>
  </fonts>
  <fills count="6">
    <fill>
      <patternFill patternType="none"/>
    </fill>
    <fill>
      <patternFill patternType="gray125"/>
    </fill>
    <fill>
      <patternFill patternType="solid">
        <fgColor rgb="FF051C38"/>
        <bgColor rgb="FF051C38"/>
      </patternFill>
    </fill>
    <fill>
      <patternFill patternType="solid">
        <fgColor rgb="FFF8F5EF"/>
      </patternFill>
    </fill>
    <fill>
      <patternFill patternType="solid">
        <fgColor rgb="FFF0EBDE"/>
      </patternFill>
    </fill>
    <fill>
      <patternFill patternType="solid">
        <fgColor rgb="FFFFFFFF"/>
      </patternFill>
    </fill>
  </fills>
  <borders count="4">
    <border>
      <left/>
      <right/>
      <top/>
      <bottom/>
      <diagonal/>
    </border>
    <border>
      <left/>
      <right style="thin">
        <color rgb="FFD3D3D3"/>
      </right>
      <top/>
      <bottom/>
      <diagonal/>
    </border>
    <border>
      <left/>
      <right style="thin">
        <color rgb="FFD3D3D3"/>
      </right>
      <top/>
      <bottom/>
      <diagonal/>
    </border>
    <border>
      <left/>
      <right style="thin">
        <color rgb="FFD3D3D3"/>
      </right>
      <top style="thin">
        <color rgb="FF78766F"/>
      </top>
      <bottom/>
      <diagonal/>
    </border>
  </borders>
  <cellStyleXfs count="25">
    <xf numFmtId="0" fontId="0" fillId="0" borderId="0"/>
    <xf numFmtId="0" fontId="1" fillId="0" borderId="0">
      <alignment horizontal="right" vertical="center"/>
    </xf>
    <xf numFmtId="0" fontId="2" fillId="0" borderId="0">
      <alignment horizontal="left" vertical="center"/>
    </xf>
    <xf numFmtId="0" fontId="1" fillId="0" borderId="0">
      <alignment horizontal="right" vertical="top"/>
    </xf>
    <xf numFmtId="0" fontId="3" fillId="0" borderId="0">
      <alignment horizontal="left" vertical="top"/>
    </xf>
    <xf numFmtId="0" fontId="2" fillId="0" borderId="0">
      <alignment horizontal="left" vertical="top" wrapText="1"/>
    </xf>
    <xf numFmtId="0" fontId="4" fillId="0" borderId="0">
      <alignment horizontal="left" vertical="center"/>
    </xf>
    <xf numFmtId="0" fontId="5" fillId="0" borderId="0">
      <alignment horizontal="center" vertical="center" wrapText="1"/>
    </xf>
    <xf numFmtId="0" fontId="1" fillId="0" borderId="1">
      <alignment horizontal="left" vertical="center" indent="1"/>
    </xf>
    <xf numFmtId="0" fontId="1" fillId="3" borderId="1">
      <alignment horizontal="left" vertical="center" indent="1"/>
    </xf>
    <xf numFmtId="0" fontId="6" fillId="0" borderId="1">
      <alignment horizontal="right" vertical="center" indent="1"/>
    </xf>
    <xf numFmtId="0" fontId="6" fillId="3" borderId="1">
      <alignment horizontal="right" vertical="center" indent="1"/>
    </xf>
    <xf numFmtId="0" fontId="6" fillId="0" borderId="1">
      <alignment horizontal="center" vertical="center"/>
    </xf>
    <xf numFmtId="0" fontId="6" fillId="3" borderId="1">
      <alignment horizontal="center" vertical="center"/>
    </xf>
    <xf numFmtId="0" fontId="7" fillId="0" borderId="1">
      <alignment horizontal="left" vertical="center" indent="1"/>
    </xf>
    <xf numFmtId="0" fontId="7" fillId="3" borderId="1">
      <alignment horizontal="left" vertical="center" indent="1"/>
    </xf>
    <xf numFmtId="0" fontId="7" fillId="0" borderId="1">
      <alignment horizontal="right" vertical="center" indent="1"/>
    </xf>
    <xf numFmtId="0" fontId="7" fillId="3" borderId="2">
      <alignment horizontal="right" vertical="center" indent="1"/>
    </xf>
    <xf numFmtId="0" fontId="8" fillId="4" borderId="3">
      <alignment horizontal="left" vertical="center" indent="1"/>
    </xf>
    <xf numFmtId="0" fontId="9" fillId="4" borderId="3">
      <alignment horizontal="left" vertical="center" indent="1"/>
    </xf>
    <xf numFmtId="0" fontId="6" fillId="0" borderId="0">
      <alignment horizontal="left" vertical="center"/>
    </xf>
    <xf numFmtId="0" fontId="10" fillId="0" borderId="0">
      <alignment horizontal="left" vertical="center"/>
    </xf>
    <xf numFmtId="0" fontId="11" fillId="5" borderId="0">
      <alignment horizontal="left" vertical="center"/>
    </xf>
    <xf numFmtId="0" fontId="12" fillId="5" borderId="0">
      <alignment horizontal="left" vertical="center"/>
    </xf>
    <xf numFmtId="0" fontId="11" fillId="5" borderId="0">
      <alignment horizontal="right" vertical="center"/>
    </xf>
  </cellStyleXfs>
  <cellXfs count="39">
    <xf numFmtId="0" fontId="0" fillId="0" borderId="0" xfId="0"/>
    <xf numFmtId="0" fontId="1" fillId="0" borderId="0" xfId="1">
      <alignment horizontal="right" vertical="center"/>
    </xf>
    <xf numFmtId="0" fontId="2" fillId="0" borderId="0" xfId="2">
      <alignment horizontal="left" vertical="center"/>
    </xf>
    <xf numFmtId="164" fontId="2" fillId="0" borderId="0" xfId="2" applyNumberFormat="1">
      <alignment horizontal="left" vertical="center"/>
    </xf>
    <xf numFmtId="0" fontId="1" fillId="0" borderId="0" xfId="3">
      <alignment horizontal="right" vertical="top"/>
    </xf>
    <xf numFmtId="0" fontId="5" fillId="2" borderId="0" xfId="7" applyFill="1">
      <alignment horizontal="center" vertical="center" wrapText="1"/>
    </xf>
    <xf numFmtId="0" fontId="3" fillId="0" borderId="0" xfId="4">
      <alignment horizontal="left" vertical="top"/>
    </xf>
    <xf numFmtId="0" fontId="4" fillId="0" borderId="0" xfId="6">
      <alignment horizontal="left" vertical="center"/>
    </xf>
    <xf numFmtId="0" fontId="1" fillId="0" borderId="1" xfId="8">
      <alignment horizontal="left" vertical="center" indent="1"/>
    </xf>
    <xf numFmtId="0" fontId="1" fillId="3" borderId="1" xfId="9">
      <alignment horizontal="left" vertical="center" indent="1"/>
    </xf>
    <xf numFmtId="0" fontId="6" fillId="0" borderId="1" xfId="10">
      <alignment horizontal="right" vertical="center" indent="1"/>
    </xf>
    <xf numFmtId="0" fontId="6" fillId="3" borderId="1" xfId="11">
      <alignment horizontal="right" vertical="center" indent="1"/>
    </xf>
    <xf numFmtId="0" fontId="6" fillId="0" borderId="1" xfId="12">
      <alignment horizontal="center" vertical="center"/>
    </xf>
    <xf numFmtId="0" fontId="6" fillId="3" borderId="1" xfId="13">
      <alignment horizontal="center" vertical="center"/>
    </xf>
    <xf numFmtId="0" fontId="7" fillId="0" borderId="1" xfId="14">
      <alignment horizontal="left" vertical="center" indent="1"/>
    </xf>
    <xf numFmtId="0" fontId="7" fillId="3" borderId="1" xfId="15">
      <alignment horizontal="left" vertical="center" indent="1"/>
    </xf>
    <xf numFmtId="0" fontId="7" fillId="0" borderId="1" xfId="16">
      <alignment horizontal="right" vertical="center" indent="1"/>
    </xf>
    <xf numFmtId="0" fontId="7" fillId="3" borderId="2" xfId="17">
      <alignment horizontal="right" vertical="center" indent="1"/>
    </xf>
    <xf numFmtId="0" fontId="8" fillId="4" borderId="3" xfId="18">
      <alignment horizontal="left" vertical="center" indent="1"/>
    </xf>
    <xf numFmtId="0" fontId="9" fillId="4" borderId="3" xfId="19">
      <alignment horizontal="left" vertical="center" indent="1"/>
    </xf>
    <xf numFmtId="165" fontId="1" fillId="0" borderId="1" xfId="8" applyNumberFormat="1">
      <alignment horizontal="left" vertical="center" indent="1"/>
    </xf>
    <xf numFmtId="165" fontId="1" fillId="3" borderId="1" xfId="9" applyNumberFormat="1">
      <alignment horizontal="left" vertical="center" indent="1"/>
    </xf>
    <xf numFmtId="165" fontId="6" fillId="0" borderId="1" xfId="10" applyNumberFormat="1">
      <alignment horizontal="right" vertical="center" indent="1"/>
    </xf>
    <xf numFmtId="165" fontId="6" fillId="3" borderId="1" xfId="11" applyNumberFormat="1">
      <alignment horizontal="right" vertical="center" indent="1"/>
    </xf>
    <xf numFmtId="165" fontId="6" fillId="0" borderId="1" xfId="12" applyNumberFormat="1">
      <alignment horizontal="center" vertical="center"/>
    </xf>
    <xf numFmtId="165" fontId="6" fillId="3" borderId="1" xfId="13" applyNumberFormat="1">
      <alignment horizontal="center" vertical="center"/>
    </xf>
    <xf numFmtId="165" fontId="7" fillId="0" borderId="1" xfId="14" applyNumberFormat="1">
      <alignment horizontal="left" vertical="center" indent="1"/>
    </xf>
    <xf numFmtId="165" fontId="7" fillId="3" borderId="1" xfId="15" applyNumberFormat="1">
      <alignment horizontal="left" vertical="center" indent="1"/>
    </xf>
    <xf numFmtId="165" fontId="7" fillId="0" borderId="1" xfId="16" applyNumberFormat="1">
      <alignment horizontal="right" vertical="center" indent="1"/>
    </xf>
    <xf numFmtId="165" fontId="7" fillId="3" borderId="2" xfId="17" applyNumberFormat="1">
      <alignment horizontal="right" vertical="center" indent="1"/>
    </xf>
    <xf numFmtId="165" fontId="8" fillId="4" borderId="3" xfId="18" applyNumberFormat="1">
      <alignment horizontal="left" vertical="center" indent="1"/>
    </xf>
    <xf numFmtId="165" fontId="9" fillId="4" borderId="3" xfId="19" applyNumberFormat="1">
      <alignment horizontal="left" vertical="center" indent="1"/>
    </xf>
    <xf numFmtId="0" fontId="6" fillId="0" borderId="0" xfId="20">
      <alignment horizontal="left" vertical="center"/>
    </xf>
    <xf numFmtId="0" fontId="10" fillId="0" borderId="0" xfId="21">
      <alignment horizontal="left" vertical="center"/>
    </xf>
    <xf numFmtId="0" fontId="11" fillId="5" borderId="0" xfId="22">
      <alignment horizontal="left" vertical="center"/>
    </xf>
    <xf numFmtId="0" fontId="12" fillId="5" borderId="0" xfId="23">
      <alignment horizontal="left" vertical="center"/>
    </xf>
    <xf numFmtId="0" fontId="11" fillId="5" borderId="0" xfId="24">
      <alignment horizontal="right" vertical="center"/>
    </xf>
    <xf numFmtId="0" fontId="2" fillId="0" borderId="0" xfId="5">
      <alignment horizontal="left" vertical="top" wrapText="1"/>
    </xf>
    <xf numFmtId="0" fontId="0" fillId="0" borderId="0" xfId="0"/>
  </cellXfs>
  <cellStyles count="25">
    <cellStyle name="bold" xfId="2" xr:uid="{00000000-0005-0000-0000-000002000000}"/>
    <cellStyle name="defaultStyle" xfId="20" xr:uid="{00000000-0005-0000-0000-000015000000}"/>
    <cellStyle name="fontSize10Italic" xfId="22" xr:uid="{00000000-0005-0000-0000-000017000000}"/>
    <cellStyle name="fontSize10ItalicHyperlink" xfId="23" xr:uid="{00000000-0005-0000-0000-000018000000}"/>
    <cellStyle name="fontSize10ItalicRight" xfId="24" xr:uid="{00000000-0005-0000-0000-000019000000}"/>
    <cellStyle name="fontSize14Bold" xfId="21" xr:uid="{00000000-0005-0000-0000-000016000000}"/>
    <cellStyle name="fontSize16Bold" xfId="6" xr:uid="{00000000-0005-0000-0000-000007000000}"/>
    <cellStyle name="horizontalCenterWrapWhiteBold" xfId="7" xr:uid="{00000000-0005-0000-0000-000008000000}"/>
    <cellStyle name="horizontalRight" xfId="1" xr:uid="{00000000-0005-0000-0000-000001000000}"/>
    <cellStyle name="hyperlinkTableCellStyleLeftGroupingColored" xfId="19" xr:uid="{00000000-0005-0000-0000-000014000000}"/>
    <cellStyle name="Normal" xfId="0" builtinId="0"/>
    <cellStyle name="tableCellStyleCenter" xfId="12" xr:uid="{00000000-0005-0000-0000-00000D000000}"/>
    <cellStyle name="tableCellStyleCenterColored" xfId="13" xr:uid="{00000000-0005-0000-0000-00000E000000}"/>
    <cellStyle name="tableCellStyleLeft" xfId="8" xr:uid="{00000000-0005-0000-0000-000009000000}"/>
    <cellStyle name="tableCellStyleLeftColored" xfId="9" xr:uid="{00000000-0005-0000-0000-00000A000000}"/>
    <cellStyle name="tableCellStyleLeftGroupingColored" xfId="18" xr:uid="{00000000-0005-0000-0000-000013000000}"/>
    <cellStyle name="tableCellStyleLeftHyperlink" xfId="14" xr:uid="{00000000-0005-0000-0000-00000F000000}"/>
    <cellStyle name="tableCellStyleLeftHyperlinkColored" xfId="15" xr:uid="{00000000-0005-0000-0000-000010000000}"/>
    <cellStyle name="tableCellStyleRight" xfId="10" xr:uid="{00000000-0005-0000-0000-00000B000000}"/>
    <cellStyle name="tableCellStyleRightColored" xfId="11" xr:uid="{00000000-0005-0000-0000-00000C000000}"/>
    <cellStyle name="tableCellStyleRightHyperlink" xfId="16" xr:uid="{00000000-0005-0000-0000-000011000000}"/>
    <cellStyle name="tableCellStyleRightHyperlinkColored" xfId="17" xr:uid="{00000000-0005-0000-0000-000012000000}"/>
    <cellStyle name="verticalTopBoldWrapBold" xfId="5" xr:uid="{00000000-0005-0000-0000-000006000000}"/>
    <cellStyle name="verticalTopHorizontalRight" xfId="3" xr:uid="{00000000-0005-0000-0000-000003000000}"/>
    <cellStyle name="verticalTopHyperlinkBold"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85725</xdr:colOff>
      <xdr:row>0</xdr:row>
      <xdr:rowOff>85725</xdr:rowOff>
    </xdr:from>
    <xdr:to>
      <xdr:col>0</xdr:col>
      <xdr:colOff>1400175</xdr:colOff>
      <xdr:row>0</xdr:row>
      <xdr:rowOff>304800</xdr:rowOff>
    </xdr:to>
    <xdr:pic>
      <xdr:nvPicPr>
        <xdr:cNvPr id="2" name="Graphic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a:fillRect/>
        </a:stretch>
      </xdr:blipFill>
      <xdr:spPr>
        <a:xfrm>
          <a:off x="85725" y="85725"/>
          <a:ext cx="1314450" cy="219075"/>
        </a:xfrm>
        <a:prstGeom prst="rect">
          <a:avLst/>
        </a:prstGeom>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y.pitchbook.com/?pcc=1328621-5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file:///C:\Users\eszte\Downloads\support@pitchbook.com" TargetMode="External"/><Relationship Id="rId2" Type="http://schemas.openxmlformats.org/officeDocument/2006/relationships/hyperlink" Target="https://pitchbook.com/subscription-agreement" TargetMode="External"/><Relationship Id="rId1" Type="http://schemas.openxmlformats.org/officeDocument/2006/relationships/hyperlink" Target="file:///C:\Users\eszte\Downloads\support@pitch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4"/>
  <sheetViews>
    <sheetView showGridLines="0" tabSelected="1" workbookViewId="0"/>
  </sheetViews>
  <sheetFormatPr defaultRowHeight="14.4" x14ac:dyDescent="0.3"/>
  <cols>
    <col min="1" max="1" width="21.6640625" customWidth="1"/>
    <col min="2" max="2" width="58.5546875" customWidth="1"/>
    <col min="3" max="3" width="136.33203125" customWidth="1"/>
    <col min="4" max="4" width="56.88671875" customWidth="1"/>
    <col min="5" max="5" width="20.6640625" customWidth="1"/>
    <col min="6" max="6" width="22.44140625" customWidth="1"/>
    <col min="7" max="7" width="29.5546875" customWidth="1"/>
    <col min="8" max="8" width="18.6640625" customWidth="1"/>
  </cols>
  <sheetData>
    <row r="1" spans="1:8" ht="25.05" customHeight="1" x14ac:dyDescent="0.3">
      <c r="D1" s="7" t="s">
        <v>7</v>
      </c>
    </row>
    <row r="3" spans="1:8" x14ac:dyDescent="0.3">
      <c r="A3" s="1" t="s">
        <v>0</v>
      </c>
      <c r="B3" s="3">
        <v>46163</v>
      </c>
    </row>
    <row r="4" spans="1:8" x14ac:dyDescent="0.3">
      <c r="A4" s="1" t="s">
        <v>1</v>
      </c>
      <c r="B4" s="2" t="s">
        <v>2</v>
      </c>
    </row>
    <row r="5" spans="1:8" x14ac:dyDescent="0.3">
      <c r="A5" s="4" t="s">
        <v>3</v>
      </c>
      <c r="B5" s="6" t="s">
        <v>4</v>
      </c>
    </row>
    <row r="6" spans="1:8" ht="30" customHeight="1" x14ac:dyDescent="0.3">
      <c r="A6" s="4" t="s">
        <v>5</v>
      </c>
      <c r="B6" s="37" t="s">
        <v>6</v>
      </c>
      <c r="C6" s="38"/>
      <c r="D6" s="38"/>
    </row>
    <row r="8" spans="1:8" ht="34.950000000000003" customHeight="1" x14ac:dyDescent="0.3">
      <c r="A8" s="5" t="s">
        <v>8</v>
      </c>
      <c r="B8" s="5" t="s">
        <v>9</v>
      </c>
      <c r="C8" s="5" t="s">
        <v>10</v>
      </c>
      <c r="D8" s="5" t="s">
        <v>11</v>
      </c>
      <c r="E8" s="5" t="s">
        <v>12</v>
      </c>
      <c r="F8" s="5" t="s">
        <v>13</v>
      </c>
      <c r="G8" s="5" t="s">
        <v>14</v>
      </c>
      <c r="H8" s="5" t="s">
        <v>15</v>
      </c>
    </row>
    <row r="9" spans="1:8" x14ac:dyDescent="0.3">
      <c r="A9" s="9" t="s">
        <v>16</v>
      </c>
      <c r="B9" s="9" t="s">
        <v>17</v>
      </c>
      <c r="C9" s="9" t="s">
        <v>18</v>
      </c>
      <c r="D9" s="9" t="s">
        <v>19</v>
      </c>
      <c r="E9" s="23">
        <v>2025</v>
      </c>
      <c r="F9" s="15" t="str">
        <f>HYPERLINK("http://www.chipadd.com", "www.chipadd.com")</f>
        <v>www.chipadd.com</v>
      </c>
      <c r="G9" s="9" t="s">
        <v>20</v>
      </c>
      <c r="H9" s="15" t="str">
        <f>HYPERLINK("https://my.pitchbook.com?c=1364923-63", "View Company Online")</f>
        <v>View Company Online</v>
      </c>
    </row>
    <row r="10" spans="1:8" x14ac:dyDescent="0.3">
      <c r="A10" s="8" t="s">
        <v>21</v>
      </c>
      <c r="B10" s="8" t="s">
        <v>22</v>
      </c>
      <c r="C10" s="8" t="s">
        <v>23</v>
      </c>
      <c r="D10" s="8" t="s">
        <v>24</v>
      </c>
      <c r="E10" s="22">
        <v>2025</v>
      </c>
      <c r="F10" s="14" t="str">
        <f>HYPERLINK("http://www.pointsolution.co.kr", "www.pointsolution.co.kr")</f>
        <v>www.pointsolution.co.kr</v>
      </c>
      <c r="G10" s="8" t="s">
        <v>25</v>
      </c>
      <c r="H10" s="14" t="str">
        <f>HYPERLINK("https://my.pitchbook.com?c=1241702-11", "View Company Online")</f>
        <v>View Company Online</v>
      </c>
    </row>
    <row r="11" spans="1:8" x14ac:dyDescent="0.3">
      <c r="A11" s="9" t="s">
        <v>26</v>
      </c>
      <c r="B11" s="9" t="s">
        <v>27</v>
      </c>
      <c r="C11" s="9" t="s">
        <v>28</v>
      </c>
      <c r="D11" s="9" t="s">
        <v>29</v>
      </c>
      <c r="E11" s="23">
        <v>2025</v>
      </c>
      <c r="F11" s="15" t="str">
        <f>HYPERLINK("http://tejasprocesssystems.com", "tejasprocesssystems.com")</f>
        <v>tejasprocesssystems.com</v>
      </c>
      <c r="G11" s="9" t="s">
        <v>30</v>
      </c>
      <c r="H11" s="15" t="str">
        <f>HYPERLINK("https://my.pitchbook.com?c=1240222-24", "View Company Online")</f>
        <v>View Company Online</v>
      </c>
    </row>
    <row r="12" spans="1:8" x14ac:dyDescent="0.3">
      <c r="A12" s="8" t="s">
        <v>31</v>
      </c>
      <c r="B12" s="8" t="s">
        <v>32</v>
      </c>
      <c r="C12" s="8" t="s">
        <v>33</v>
      </c>
      <c r="D12" s="8" t="s">
        <v>34</v>
      </c>
      <c r="E12" s="22">
        <v>2024</v>
      </c>
      <c r="F12" s="14" t="str">
        <f>HYPERLINK("http://www.icicleflow.com", "www.icicleflow.com")</f>
        <v>www.icicleflow.com</v>
      </c>
      <c r="G12" s="8" t="s">
        <v>35</v>
      </c>
      <c r="H12" s="14" t="str">
        <f>HYPERLINK("https://my.pitchbook.com?c=898598-17", "View Company Online")</f>
        <v>View Company Online</v>
      </c>
    </row>
    <row r="13" spans="1:8" x14ac:dyDescent="0.3">
      <c r="A13" s="9" t="s">
        <v>36</v>
      </c>
      <c r="B13" s="9" t="s">
        <v>37</v>
      </c>
      <c r="C13" s="9" t="s">
        <v>38</v>
      </c>
      <c r="D13" s="9" t="s">
        <v>39</v>
      </c>
      <c r="E13" s="23">
        <v>2024</v>
      </c>
      <c r="F13" s="15" t="str">
        <f>HYPERLINK("http://www.nuwatts.com", "www.nuwatts.com")</f>
        <v>www.nuwatts.com</v>
      </c>
      <c r="G13" s="9" t="s">
        <v>40</v>
      </c>
      <c r="H13" s="15" t="str">
        <f>HYPERLINK("https://my.pitchbook.com?c=623946-52", "View Company Online")</f>
        <v>View Company Online</v>
      </c>
    </row>
    <row r="14" spans="1:8" x14ac:dyDescent="0.3">
      <c r="A14" s="8" t="s">
        <v>41</v>
      </c>
      <c r="B14" s="8" t="s">
        <v>42</v>
      </c>
      <c r="C14" s="8" t="s">
        <v>43</v>
      </c>
      <c r="D14" s="8" t="s">
        <v>44</v>
      </c>
      <c r="E14" s="22">
        <v>2024</v>
      </c>
      <c r="F14" s="14" t="str">
        <f>HYPERLINK("http://www.picooltechnologies.com", "www.picooltechnologies.com")</f>
        <v>www.picooltechnologies.com</v>
      </c>
      <c r="G14" s="8" t="s">
        <v>45</v>
      </c>
      <c r="H14" s="14" t="str">
        <f>HYPERLINK("https://my.pitchbook.com?c=1168945-21", "View Company Online")</f>
        <v>View Company Online</v>
      </c>
    </row>
    <row r="15" spans="1:8" x14ac:dyDescent="0.3">
      <c r="A15" s="9" t="s">
        <v>46</v>
      </c>
      <c r="B15" s="9" t="s">
        <v>47</v>
      </c>
      <c r="C15" s="9" t="s">
        <v>48</v>
      </c>
      <c r="D15" s="9" t="s">
        <v>49</v>
      </c>
      <c r="E15" s="23">
        <v>2024</v>
      </c>
      <c r="F15" s="15" t="str">
        <f>HYPERLINK("http://skyspigot.com", "skyspigot.com")</f>
        <v>skyspigot.com</v>
      </c>
      <c r="G15" s="9" t="s">
        <v>50</v>
      </c>
      <c r="H15" s="15" t="str">
        <f>HYPERLINK("https://my.pitchbook.com?c=1385309-17", "View Company Online")</f>
        <v>View Company Online</v>
      </c>
    </row>
    <row r="16" spans="1:8" x14ac:dyDescent="0.3">
      <c r="A16" s="8" t="s">
        <v>51</v>
      </c>
      <c r="B16" s="8" t="s">
        <v>52</v>
      </c>
      <c r="C16" s="8" t="s">
        <v>53</v>
      </c>
      <c r="D16" s="8" t="s">
        <v>44</v>
      </c>
      <c r="E16" s="22">
        <v>2024</v>
      </c>
      <c r="F16" s="14" t="str">
        <f>HYPERLINK("http://www.swirlx.co", "www.swirlx.co")</f>
        <v>www.swirlx.co</v>
      </c>
      <c r="G16" s="8" t="s">
        <v>54</v>
      </c>
      <c r="H16" s="14" t="str">
        <f>HYPERLINK("https://my.pitchbook.com?c=1083525-76", "View Company Online")</f>
        <v>View Company Online</v>
      </c>
    </row>
    <row r="17" spans="1:8" x14ac:dyDescent="0.3">
      <c r="A17" s="9" t="s">
        <v>55</v>
      </c>
      <c r="B17" s="9" t="s">
        <v>56</v>
      </c>
      <c r="C17" s="9" t="s">
        <v>57</v>
      </c>
      <c r="D17" s="9" t="s">
        <v>58</v>
      </c>
      <c r="E17" s="23">
        <v>2024</v>
      </c>
      <c r="F17" s="15" t="str">
        <f>HYPERLINK("http://www.xlex.in", "www.xlex.in")</f>
        <v>www.xlex.in</v>
      </c>
      <c r="G17" s="9" t="s">
        <v>59</v>
      </c>
      <c r="H17" s="15" t="str">
        <f>HYPERLINK("https://my.pitchbook.com?c=925299-91", "View Company Online")</f>
        <v>View Company Online</v>
      </c>
    </row>
    <row r="18" spans="1:8" x14ac:dyDescent="0.3">
      <c r="A18" s="8" t="s">
        <v>60</v>
      </c>
      <c r="B18" s="8" t="s">
        <v>61</v>
      </c>
      <c r="C18" s="8" t="s">
        <v>62</v>
      </c>
      <c r="D18" s="8" t="s">
        <v>63</v>
      </c>
      <c r="E18" s="22">
        <v>2023</v>
      </c>
      <c r="F18" s="14" t="str">
        <f>HYPERLINK("http://www.coolstacktech.com", "www.coolstacktech.com")</f>
        <v>www.coolstacktech.com</v>
      </c>
      <c r="G18" s="8" t="s">
        <v>64</v>
      </c>
      <c r="H18" s="14" t="str">
        <f>HYPERLINK("https://my.pitchbook.com?c=591042-79", "View Company Online")</f>
        <v>View Company Online</v>
      </c>
    </row>
    <row r="19" spans="1:8" x14ac:dyDescent="0.3">
      <c r="A19" s="9" t="s">
        <v>65</v>
      </c>
      <c r="B19" s="9" t="s">
        <v>66</v>
      </c>
      <c r="C19" s="9" t="s">
        <v>67</v>
      </c>
      <c r="D19" s="9" t="s">
        <v>68</v>
      </c>
      <c r="E19" s="23">
        <v>2023</v>
      </c>
      <c r="F19" s="15" t="str">
        <f>HYPERLINK("http://www.deepatomic.com", "www.deepatomic.com")</f>
        <v>www.deepatomic.com</v>
      </c>
      <c r="G19" s="9" t="s">
        <v>69</v>
      </c>
      <c r="H19" s="15" t="str">
        <f>HYPERLINK("https://my.pitchbook.com?c=690845-05", "View Company Online")</f>
        <v>View Company Online</v>
      </c>
    </row>
    <row r="20" spans="1:8" x14ac:dyDescent="0.3">
      <c r="A20" s="8" t="s">
        <v>70</v>
      </c>
      <c r="B20" s="8" t="s">
        <v>71</v>
      </c>
      <c r="C20" s="8" t="s">
        <v>72</v>
      </c>
      <c r="D20" s="8" t="s">
        <v>73</v>
      </c>
      <c r="E20" s="22">
        <v>2023</v>
      </c>
      <c r="F20" s="14" t="str">
        <f>HYPERLINK("http://londongeothermal.com", "londongeothermal.com")</f>
        <v>londongeothermal.com</v>
      </c>
      <c r="G20" s="8" t="s">
        <v>74</v>
      </c>
      <c r="H20" s="14" t="str">
        <f>HYPERLINK("https://my.pitchbook.com?c=1240374-25", "View Company Online")</f>
        <v>View Company Online</v>
      </c>
    </row>
    <row r="21" spans="1:8" x14ac:dyDescent="0.3">
      <c r="A21" s="9" t="s">
        <v>75</v>
      </c>
      <c r="B21" s="9" t="s">
        <v>76</v>
      </c>
      <c r="C21" s="9" t="s">
        <v>77</v>
      </c>
      <c r="D21" s="9" t="s">
        <v>78</v>
      </c>
      <c r="E21" s="23">
        <v>2023</v>
      </c>
      <c r="F21" s="15" t="str">
        <f>HYPERLINK("http://www.networkocean.io", "www.networkocean.io")</f>
        <v>www.networkocean.io</v>
      </c>
      <c r="G21" s="9" t="s">
        <v>79</v>
      </c>
      <c r="H21" s="15" t="str">
        <f>HYPERLINK("https://my.pitchbook.com?c=597771-91", "View Company Online")</f>
        <v>View Company Online</v>
      </c>
    </row>
    <row r="22" spans="1:8" x14ac:dyDescent="0.3">
      <c r="A22" s="8" t="s">
        <v>80</v>
      </c>
      <c r="B22" s="8" t="s">
        <v>81</v>
      </c>
      <c r="C22" s="8" t="s">
        <v>82</v>
      </c>
      <c r="D22" s="8" t="s">
        <v>83</v>
      </c>
      <c r="E22" s="22">
        <v>2023</v>
      </c>
      <c r="F22" s="14" t="str">
        <f>HYPERLINK("http://thracechillers.com", "thracechillers.com")</f>
        <v>thracechillers.com</v>
      </c>
      <c r="G22" s="8" t="s">
        <v>84</v>
      </c>
      <c r="H22" s="14" t="str">
        <f>HYPERLINK("https://my.pitchbook.com?c=925556-14", "View Company Online")</f>
        <v>View Company Online</v>
      </c>
    </row>
    <row r="23" spans="1:8" x14ac:dyDescent="0.3">
      <c r="A23" s="9" t="s">
        <v>85</v>
      </c>
      <c r="B23" s="9" t="s">
        <v>86</v>
      </c>
      <c r="C23" s="9" t="s">
        <v>87</v>
      </c>
      <c r="D23" s="9" t="s">
        <v>88</v>
      </c>
      <c r="E23" s="23">
        <v>2022</v>
      </c>
      <c r="F23" s="15" t="str">
        <f>HYPERLINK("http://frontiertechnologies.my", "frontiertechnologies.my")</f>
        <v>frontiertechnologies.my</v>
      </c>
      <c r="G23" s="9" t="s">
        <v>89</v>
      </c>
      <c r="H23" s="15" t="str">
        <f>HYPERLINK("https://my.pitchbook.com?c=893646-01", "View Company Online")</f>
        <v>View Company Online</v>
      </c>
    </row>
    <row r="24" spans="1:8" x14ac:dyDescent="0.3">
      <c r="A24" s="8" t="s">
        <v>90</v>
      </c>
      <c r="B24" s="8" t="s">
        <v>91</v>
      </c>
      <c r="C24" s="8" t="s">
        <v>92</v>
      </c>
      <c r="D24" s="8" t="s">
        <v>93</v>
      </c>
      <c r="E24" s="22">
        <v>2022</v>
      </c>
      <c r="F24" s="14" t="str">
        <f>HYPERLINK("http://www.dataformed.it", "www.dataformed.it")</f>
        <v>www.dataformed.it</v>
      </c>
      <c r="G24" s="8" t="s">
        <v>94</v>
      </c>
      <c r="H24" s="14" t="str">
        <f>HYPERLINK("https://my.pitchbook.com?c=847111-51", "View Company Online")</f>
        <v>View Company Online</v>
      </c>
    </row>
    <row r="25" spans="1:8" x14ac:dyDescent="0.3">
      <c r="A25" s="9" t="s">
        <v>95</v>
      </c>
      <c r="B25" s="9" t="s">
        <v>96</v>
      </c>
      <c r="C25" s="9" t="s">
        <v>97</v>
      </c>
      <c r="D25" s="9" t="s">
        <v>98</v>
      </c>
      <c r="E25" s="23">
        <v>2022</v>
      </c>
      <c r="F25" s="15" t="str">
        <f>HYPERLINK("http://www.impactcooling.com", "www.impactcooling.com")</f>
        <v>www.impactcooling.com</v>
      </c>
      <c r="G25" s="9" t="s">
        <v>99</v>
      </c>
      <c r="H25" s="15" t="str">
        <f>HYPERLINK("https://my.pitchbook.com?c=539442-73", "View Company Online")</f>
        <v>View Company Online</v>
      </c>
    </row>
    <row r="26" spans="1:8" x14ac:dyDescent="0.3">
      <c r="A26" s="8" t="s">
        <v>100</v>
      </c>
      <c r="B26" s="8" t="s">
        <v>101</v>
      </c>
      <c r="C26" s="8" t="s">
        <v>102</v>
      </c>
      <c r="D26" s="8" t="s">
        <v>103</v>
      </c>
      <c r="E26" s="22">
        <v>2022</v>
      </c>
      <c r="F26" s="14" t="str">
        <f>HYPERLINK("http://www.koolmicro.com", "www.koolmicro.com")</f>
        <v>www.koolmicro.com</v>
      </c>
      <c r="G26" s="8" t="s">
        <v>104</v>
      </c>
      <c r="H26" s="14" t="str">
        <f>HYPERLINK("https://my.pitchbook.com?c=894294-91", "View Company Online")</f>
        <v>View Company Online</v>
      </c>
    </row>
    <row r="27" spans="1:8" x14ac:dyDescent="0.3">
      <c r="A27" s="9" t="s">
        <v>105</v>
      </c>
      <c r="B27" s="9" t="s">
        <v>106</v>
      </c>
      <c r="C27" s="9" t="s">
        <v>107</v>
      </c>
      <c r="D27" s="9" t="s">
        <v>108</v>
      </c>
      <c r="E27" s="23">
        <v>2022</v>
      </c>
      <c r="F27" s="15" t="str">
        <f>HYPERLINK("http://www.tenutec.com", "www.tenutec.com")</f>
        <v>www.tenutec.com</v>
      </c>
      <c r="G27" s="9" t="s">
        <v>109</v>
      </c>
      <c r="H27" s="15" t="str">
        <f>HYPERLINK("https://my.pitchbook.com?c=639047-89", "View Company Online")</f>
        <v>View Company Online</v>
      </c>
    </row>
    <row r="28" spans="1:8" x14ac:dyDescent="0.3">
      <c r="A28" s="8" t="s">
        <v>110</v>
      </c>
      <c r="B28" s="8" t="s">
        <v>111</v>
      </c>
      <c r="C28" s="8" t="s">
        <v>112</v>
      </c>
      <c r="D28" s="8" t="s">
        <v>113</v>
      </c>
      <c r="E28" s="22">
        <v>2022</v>
      </c>
      <c r="F28" s="14" t="str">
        <f>HYPERLINK("http://www.ultrascaledi.com", "www.ultrascaledi.com")</f>
        <v>www.ultrascaledi.com</v>
      </c>
      <c r="G28" s="8" t="s">
        <v>114</v>
      </c>
      <c r="H28" s="14" t="str">
        <f>HYPERLINK("https://my.pitchbook.com?c=615582-28", "View Company Online")</f>
        <v>View Company Online</v>
      </c>
    </row>
    <row r="29" spans="1:8" x14ac:dyDescent="0.3">
      <c r="A29" s="9" t="s">
        <v>115</v>
      </c>
      <c r="B29" s="9" t="s">
        <v>116</v>
      </c>
      <c r="C29" s="9" t="s">
        <v>117</v>
      </c>
      <c r="D29" s="9" t="s">
        <v>118</v>
      </c>
      <c r="E29" s="23">
        <v>2021</v>
      </c>
      <c r="F29" s="15" t="str">
        <f>HYPERLINK("http://www.arcticimpulse.com", "www.arcticimpulse.com")</f>
        <v>www.arcticimpulse.com</v>
      </c>
      <c r="G29" s="9" t="s">
        <v>119</v>
      </c>
      <c r="H29" s="15" t="str">
        <f>HYPERLINK("https://my.pitchbook.com?c=541107-19", "View Company Online")</f>
        <v>View Company Online</v>
      </c>
    </row>
    <row r="30" spans="1:8" x14ac:dyDescent="0.3">
      <c r="A30" s="8" t="s">
        <v>120</v>
      </c>
      <c r="B30" s="8" t="s">
        <v>121</v>
      </c>
      <c r="C30" s="8" t="s">
        <v>122</v>
      </c>
      <c r="D30" s="8" t="s">
        <v>123</v>
      </c>
      <c r="E30" s="22">
        <v>2021</v>
      </c>
      <c r="F30" s="14" t="str">
        <f>HYPERLINK("http://www.hotta.es", "www.hotta.es")</f>
        <v>www.hotta.es</v>
      </c>
      <c r="G30" s="8" t="s">
        <v>124</v>
      </c>
      <c r="H30" s="14" t="str">
        <f>HYPERLINK("https://my.pitchbook.com?c=503343-37", "View Company Online")</f>
        <v>View Company Online</v>
      </c>
    </row>
    <row r="31" spans="1:8" x14ac:dyDescent="0.3">
      <c r="A31" s="9" t="s">
        <v>125</v>
      </c>
      <c r="B31" s="9" t="s">
        <v>126</v>
      </c>
      <c r="C31" s="9" t="s">
        <v>127</v>
      </c>
      <c r="D31" s="9" t="s">
        <v>128</v>
      </c>
      <c r="E31" s="23">
        <v>2021</v>
      </c>
      <c r="F31" s="15" t="str">
        <f>HYPERLINK("http://www.ixora.eu", "www.ixora.eu")</f>
        <v>www.ixora.eu</v>
      </c>
      <c r="G31" s="9" t="s">
        <v>129</v>
      </c>
      <c r="H31" s="15" t="str">
        <f>HYPERLINK("https://my.pitchbook.com?c=812050-93", "View Company Online")</f>
        <v>View Company Online</v>
      </c>
    </row>
    <row r="32" spans="1:8" x14ac:dyDescent="0.3">
      <c r="A32" s="8" t="s">
        <v>130</v>
      </c>
      <c r="B32" s="8" t="s">
        <v>131</v>
      </c>
      <c r="C32" s="8" t="s">
        <v>132</v>
      </c>
      <c r="D32" s="8" t="s">
        <v>133</v>
      </c>
      <c r="E32" s="22">
        <v>2021</v>
      </c>
      <c r="F32" s="14" t="str">
        <f>HYPERLINK("http://www.navixsolutions.com", "www.navixsolutions.com")</f>
        <v>www.navixsolutions.com</v>
      </c>
      <c r="G32" s="8" t="s">
        <v>134</v>
      </c>
      <c r="H32" s="14" t="str">
        <f>HYPERLINK("https://my.pitchbook.com?c=466441-03", "View Company Online")</f>
        <v>View Company Online</v>
      </c>
    </row>
    <row r="33" spans="1:8" x14ac:dyDescent="0.3">
      <c r="A33" s="9" t="s">
        <v>135</v>
      </c>
      <c r="B33" s="9" t="s">
        <v>136</v>
      </c>
      <c r="C33" s="9" t="s">
        <v>137</v>
      </c>
      <c r="D33" s="9" t="s">
        <v>138</v>
      </c>
      <c r="E33" s="23">
        <v>2021</v>
      </c>
      <c r="F33" s="15" t="str">
        <f>HYPERLINK("http://resetdata.com.au", "resetdata.com.au")</f>
        <v>resetdata.com.au</v>
      </c>
      <c r="G33" s="9" t="s">
        <v>139</v>
      </c>
      <c r="H33" s="15" t="str">
        <f>HYPERLINK("https://my.pitchbook.com?c=620737-48", "View Company Online")</f>
        <v>View Company Online</v>
      </c>
    </row>
    <row r="34" spans="1:8" x14ac:dyDescent="0.3">
      <c r="A34" s="8" t="s">
        <v>140</v>
      </c>
      <c r="B34" s="8" t="s">
        <v>141</v>
      </c>
      <c r="C34" s="8" t="s">
        <v>142</v>
      </c>
      <c r="D34" s="8" t="s">
        <v>133</v>
      </c>
      <c r="E34" s="22">
        <v>2021</v>
      </c>
      <c r="F34" s="14" t="str">
        <f>HYPERLINK("http://www.zeusdatacenters.com", "www.zeusdatacenters.com")</f>
        <v>www.zeusdatacenters.com</v>
      </c>
      <c r="G34" s="8" t="s">
        <v>143</v>
      </c>
      <c r="H34" s="14" t="str">
        <f>HYPERLINK("https://my.pitchbook.com?c=495743-05", "View Company Online")</f>
        <v>View Company Online</v>
      </c>
    </row>
    <row r="35" spans="1:8" x14ac:dyDescent="0.3">
      <c r="A35" s="9" t="s">
        <v>144</v>
      </c>
      <c r="B35" s="9" t="s">
        <v>145</v>
      </c>
      <c r="C35" s="9" t="s">
        <v>146</v>
      </c>
      <c r="D35" s="9" t="s">
        <v>73</v>
      </c>
      <c r="E35" s="23">
        <v>2020</v>
      </c>
      <c r="F35" s="15" t="str">
        <f>HYPERLINK("http://www.coolfiltration.com", "www.coolfiltration.com")</f>
        <v>www.coolfiltration.com</v>
      </c>
      <c r="G35" s="9" t="s">
        <v>147</v>
      </c>
      <c r="H35" s="15" t="str">
        <f>HYPERLINK("https://my.pitchbook.com?c=821251-72", "View Company Online")</f>
        <v>View Company Online</v>
      </c>
    </row>
    <row r="36" spans="1:8" x14ac:dyDescent="0.3">
      <c r="A36" s="8" t="s">
        <v>148</v>
      </c>
      <c r="B36" s="8" t="s">
        <v>149</v>
      </c>
      <c r="C36" s="8" t="s">
        <v>150</v>
      </c>
      <c r="D36" s="8" t="s">
        <v>151</v>
      </c>
      <c r="E36" s="22">
        <v>2020</v>
      </c>
      <c r="F36" s="14" t="str">
        <f>HYPERLINK("http://www.maverickpwr.com", "www.maverickpwr.com")</f>
        <v>www.maverickpwr.com</v>
      </c>
      <c r="G36" s="8" t="s">
        <v>152</v>
      </c>
      <c r="H36" s="14" t="str">
        <f>HYPERLINK("https://my.pitchbook.com?c=533113-84", "View Company Online")</f>
        <v>View Company Online</v>
      </c>
    </row>
    <row r="37" spans="1:8" x14ac:dyDescent="0.3">
      <c r="A37" s="9" t="s">
        <v>153</v>
      </c>
      <c r="B37" s="9" t="s">
        <v>154</v>
      </c>
      <c r="C37" s="9" t="s">
        <v>155</v>
      </c>
      <c r="D37" s="9" t="s">
        <v>156</v>
      </c>
      <c r="E37" s="23">
        <v>2019</v>
      </c>
      <c r="F37" s="15" t="str">
        <f>HYPERLINK("http://www.dcasia-ltd.com", "www.dcasia-ltd.com")</f>
        <v>www.dcasia-ltd.com</v>
      </c>
      <c r="G37" s="9" t="s">
        <v>157</v>
      </c>
      <c r="H37" s="15" t="str">
        <f>HYPERLINK("https://my.pitchbook.com?c=498037-96", "View Company Online")</f>
        <v>View Company Online</v>
      </c>
    </row>
    <row r="38" spans="1:8" x14ac:dyDescent="0.3">
      <c r="A38" s="8" t="s">
        <v>158</v>
      </c>
      <c r="B38" s="8" t="s">
        <v>159</v>
      </c>
      <c r="C38" s="8" t="s">
        <v>160</v>
      </c>
      <c r="D38" s="8" t="s">
        <v>161</v>
      </c>
      <c r="E38" s="22">
        <v>2018</v>
      </c>
      <c r="F38" s="14" t="str">
        <f>HYPERLINK("http://www.incooling.com", "www.incooling.com")</f>
        <v>www.incooling.com</v>
      </c>
      <c r="G38" s="8" t="s">
        <v>162</v>
      </c>
      <c r="H38" s="14" t="str">
        <f>HYPERLINK("https://my.pitchbook.com?c=462874-96", "View Company Online")</f>
        <v>View Company Online</v>
      </c>
    </row>
    <row r="39" spans="1:8" x14ac:dyDescent="0.3">
      <c r="A39" s="9" t="s">
        <v>163</v>
      </c>
      <c r="B39" s="9" t="s">
        <v>164</v>
      </c>
      <c r="C39" s="9" t="s">
        <v>165</v>
      </c>
      <c r="D39" s="9" t="s">
        <v>166</v>
      </c>
      <c r="E39" s="23">
        <v>2018</v>
      </c>
      <c r="F39" s="15" t="str">
        <f>HYPERLINK("http://rakesengineers.com", "rakesengineers.com")</f>
        <v>rakesengineers.com</v>
      </c>
      <c r="G39" s="9" t="s">
        <v>167</v>
      </c>
      <c r="H39" s="15" t="str">
        <f>HYPERLINK("https://my.pitchbook.com?c=934903-81", "View Company Online")</f>
        <v>View Company Online</v>
      </c>
    </row>
    <row r="40" spans="1:8" x14ac:dyDescent="0.3">
      <c r="A40" s="8" t="s">
        <v>168</v>
      </c>
      <c r="B40" s="8" t="s">
        <v>169</v>
      </c>
      <c r="C40" s="8" t="s">
        <v>170</v>
      </c>
      <c r="D40" s="8" t="s">
        <v>171</v>
      </c>
      <c r="E40" s="22">
        <v>2017</v>
      </c>
      <c r="F40" s="14" t="str">
        <f>HYPERLINK("http://cspm.co.th", "cspm.co.th")</f>
        <v>cspm.co.th</v>
      </c>
      <c r="G40" s="8" t="s">
        <v>172</v>
      </c>
      <c r="H40" s="14" t="str">
        <f>HYPERLINK("https://my.pitchbook.com?c=925504-03", "View Company Online")</f>
        <v>View Company Online</v>
      </c>
    </row>
    <row r="41" spans="1:8" x14ac:dyDescent="0.3">
      <c r="A41" s="9" t="s">
        <v>173</v>
      </c>
      <c r="B41" s="9" t="s">
        <v>174</v>
      </c>
      <c r="C41" s="9" t="s">
        <v>175</v>
      </c>
      <c r="D41" s="9" t="s">
        <v>176</v>
      </c>
      <c r="E41" s="23">
        <v>2017</v>
      </c>
      <c r="F41" s="15" t="str">
        <f>HYPERLINK("http://www.engineeredfluids.com", "www.engineeredfluids.com")</f>
        <v>www.engineeredfluids.com</v>
      </c>
      <c r="G41" s="9" t="s">
        <v>177</v>
      </c>
      <c r="H41" s="15" t="str">
        <f>HYPERLINK("https://my.pitchbook.com?c=463316-50", "View Company Online")</f>
        <v>View Company Online</v>
      </c>
    </row>
    <row r="42" spans="1:8" x14ac:dyDescent="0.3">
      <c r="A42" s="8" t="s">
        <v>178</v>
      </c>
      <c r="B42" s="8" t="s">
        <v>179</v>
      </c>
      <c r="C42" s="8" t="s">
        <v>180</v>
      </c>
      <c r="D42" s="8" t="s">
        <v>181</v>
      </c>
      <c r="E42" s="22">
        <v>2017</v>
      </c>
      <c r="F42" s="14" t="str">
        <f>HYPERLINK("http://www.nexalus.com", "www.nexalus.com")</f>
        <v>www.nexalus.com</v>
      </c>
      <c r="G42" s="8" t="s">
        <v>182</v>
      </c>
      <c r="H42" s="14" t="str">
        <f>HYPERLINK("https://my.pitchbook.com?c=437128-03", "View Company Online")</f>
        <v>View Company Online</v>
      </c>
    </row>
    <row r="43" spans="1:8" x14ac:dyDescent="0.3">
      <c r="A43" s="9" t="s">
        <v>183</v>
      </c>
      <c r="B43" s="9" t="s">
        <v>184</v>
      </c>
      <c r="C43" s="9" t="s">
        <v>185</v>
      </c>
      <c r="D43" s="9" t="s">
        <v>186</v>
      </c>
      <c r="E43" s="23">
        <v>2016</v>
      </c>
      <c r="F43" s="15" t="str">
        <f>HYPERLINK("http://www.cepacair.com", "www.cepacair.com")</f>
        <v>www.cepacair.com</v>
      </c>
      <c r="G43" s="9" t="s">
        <v>187</v>
      </c>
      <c r="H43" s="15" t="str">
        <f>HYPERLINK("https://my.pitchbook.com?c=863899-39", "View Company Online")</f>
        <v>View Company Online</v>
      </c>
    </row>
    <row r="44" spans="1:8" x14ac:dyDescent="0.3">
      <c r="A44" s="8" t="s">
        <v>188</v>
      </c>
      <c r="B44" s="8" t="s">
        <v>189</v>
      </c>
      <c r="C44" s="8" t="s">
        <v>190</v>
      </c>
      <c r="D44" s="8" t="s">
        <v>191</v>
      </c>
      <c r="E44" s="22">
        <v>2016</v>
      </c>
      <c r="F44" s="14" t="str">
        <f>HYPERLINK("http://www.dcx.eu", "www.dcx.eu")</f>
        <v>www.dcx.eu</v>
      </c>
      <c r="G44" s="8" t="s">
        <v>192</v>
      </c>
      <c r="H44" s="14" t="str">
        <f>HYPERLINK("https://my.pitchbook.com?c=465476-23", "View Company Online")</f>
        <v>View Company Online</v>
      </c>
    </row>
    <row r="45" spans="1:8" x14ac:dyDescent="0.3">
      <c r="A45" s="9" t="s">
        <v>193</v>
      </c>
      <c r="B45" s="9" t="s">
        <v>194</v>
      </c>
      <c r="C45" s="9" t="s">
        <v>195</v>
      </c>
      <c r="D45" s="9" t="s">
        <v>196</v>
      </c>
      <c r="E45" s="23">
        <v>2016</v>
      </c>
      <c r="F45" s="15" t="str">
        <f>HYPERLINK("http://mytecheng.com", "mytecheng.com")</f>
        <v>mytecheng.com</v>
      </c>
      <c r="G45" s="9" t="s">
        <v>197</v>
      </c>
      <c r="H45" s="15" t="str">
        <f>HYPERLINK("https://my.pitchbook.com?c=907318-00", "View Company Online")</f>
        <v>View Company Online</v>
      </c>
    </row>
    <row r="46" spans="1:8" x14ac:dyDescent="0.3">
      <c r="A46" s="8" t="s">
        <v>198</v>
      </c>
      <c r="B46" s="8" t="s">
        <v>199</v>
      </c>
      <c r="C46" s="8" t="s">
        <v>200</v>
      </c>
      <c r="D46" s="8" t="s">
        <v>201</v>
      </c>
      <c r="E46" s="22">
        <v>2016</v>
      </c>
      <c r="F46" s="14" t="str">
        <f>HYPERLINK("http://www.zutacore.com", "www.zutacore.com")</f>
        <v>www.zutacore.com</v>
      </c>
      <c r="G46" s="8" t="s">
        <v>202</v>
      </c>
      <c r="H46" s="14" t="str">
        <f>HYPERLINK("https://my.pitchbook.com?c=265378-60", "View Company Online")</f>
        <v>View Company Online</v>
      </c>
    </row>
    <row r="47" spans="1:8" x14ac:dyDescent="0.3">
      <c r="A47" s="9" t="s">
        <v>203</v>
      </c>
      <c r="B47" s="9" t="s">
        <v>204</v>
      </c>
      <c r="C47" s="9" t="s">
        <v>205</v>
      </c>
      <c r="D47" s="9" t="s">
        <v>206</v>
      </c>
      <c r="E47" s="23">
        <v>2015</v>
      </c>
      <c r="F47" s="15" t="str">
        <f>HYPERLINK("http://www.eco-atlas.com", "www.eco-atlas.com")</f>
        <v>www.eco-atlas.com</v>
      </c>
      <c r="G47" s="9" t="s">
        <v>207</v>
      </c>
      <c r="H47" s="15" t="str">
        <f>HYPERLINK("https://my.pitchbook.com?c=894091-33", "View Company Online")</f>
        <v>View Company Online</v>
      </c>
    </row>
    <row r="48" spans="1:8" x14ac:dyDescent="0.3">
      <c r="A48" s="8" t="s">
        <v>208</v>
      </c>
      <c r="B48" s="8" t="s">
        <v>209</v>
      </c>
      <c r="C48" s="8" t="s">
        <v>210</v>
      </c>
      <c r="D48" s="8" t="s">
        <v>211</v>
      </c>
      <c r="E48" s="22">
        <v>2015</v>
      </c>
      <c r="F48" s="14" t="str">
        <f>HYPERLINK("http://www.kaorithermal.com", "www.kaorithermal.com")</f>
        <v>www.kaorithermal.com</v>
      </c>
      <c r="G48" s="8" t="s">
        <v>212</v>
      </c>
      <c r="H48" s="14" t="str">
        <f>HYPERLINK("https://my.pitchbook.com?c=1396000-81", "View Company Online")</f>
        <v>View Company Online</v>
      </c>
    </row>
    <row r="49" spans="1:8" x14ac:dyDescent="0.3">
      <c r="A49" s="9" t="s">
        <v>213</v>
      </c>
      <c r="B49" s="9" t="s">
        <v>214</v>
      </c>
      <c r="C49" s="9" t="s">
        <v>215</v>
      </c>
      <c r="D49" s="9" t="s">
        <v>216</v>
      </c>
      <c r="E49" s="23">
        <v>2015</v>
      </c>
      <c r="F49" s="15" t="str">
        <f>HYPERLINK("http://www.retaam.com", "www.retaam.com")</f>
        <v>www.retaam.com</v>
      </c>
      <c r="G49" s="9" t="s">
        <v>217</v>
      </c>
      <c r="H49" s="15" t="str">
        <f>HYPERLINK("https://my.pitchbook.com?c=540753-22", "View Company Online")</f>
        <v>View Company Online</v>
      </c>
    </row>
    <row r="50" spans="1:8" x14ac:dyDescent="0.3">
      <c r="A50" s="8" t="s">
        <v>218</v>
      </c>
      <c r="B50" s="8" t="s">
        <v>219</v>
      </c>
      <c r="C50" s="8" t="s">
        <v>220</v>
      </c>
      <c r="D50" s="8" t="s">
        <v>221</v>
      </c>
      <c r="E50" s="22">
        <v>2015</v>
      </c>
      <c r="F50" s="14" t="str">
        <f>HYPERLINK("http://www.rezonent.com", "www.rezonent.com")</f>
        <v>www.rezonent.com</v>
      </c>
      <c r="G50" s="8" t="s">
        <v>222</v>
      </c>
      <c r="H50" s="14" t="str">
        <f>HYPERLINK("https://my.pitchbook.com?c=233726-68", "View Company Online")</f>
        <v>View Company Online</v>
      </c>
    </row>
    <row r="51" spans="1:8" x14ac:dyDescent="0.3">
      <c r="A51" s="9" t="s">
        <v>223</v>
      </c>
      <c r="B51" s="9" t="s">
        <v>224</v>
      </c>
      <c r="C51" s="9" t="s">
        <v>225</v>
      </c>
      <c r="D51" s="9" t="s">
        <v>226</v>
      </c>
      <c r="E51" s="23">
        <v>2015</v>
      </c>
      <c r="F51" s="15" t="str">
        <f>HYPERLINK("http://www.select-stainless.com", "www.select-stainless.com")</f>
        <v>www.select-stainless.com</v>
      </c>
      <c r="G51" s="9" t="s">
        <v>227</v>
      </c>
      <c r="H51" s="15" t="str">
        <f>HYPERLINK("https://my.pitchbook.com?c=366657-58", "View Company Online")</f>
        <v>View Company Online</v>
      </c>
    </row>
    <row r="52" spans="1:8" x14ac:dyDescent="0.3">
      <c r="A52" s="8" t="s">
        <v>228</v>
      </c>
      <c r="B52" s="8" t="s">
        <v>229</v>
      </c>
      <c r="C52" s="8" t="s">
        <v>230</v>
      </c>
      <c r="D52" s="8" t="s">
        <v>231</v>
      </c>
      <c r="E52" s="22">
        <v>2015</v>
      </c>
      <c r="F52" s="14" t="str">
        <f>HYPERLINK("http://www.submer.com", "www.submer.com")</f>
        <v>www.submer.com</v>
      </c>
      <c r="G52" s="8" t="s">
        <v>232</v>
      </c>
      <c r="H52" s="14" t="str">
        <f>HYPERLINK("https://my.pitchbook.com?c=234055-45", "View Company Online")</f>
        <v>View Company Online</v>
      </c>
    </row>
    <row r="53" spans="1:8" x14ac:dyDescent="0.3">
      <c r="A53" s="9" t="s">
        <v>233</v>
      </c>
      <c r="B53" s="9" t="s">
        <v>234</v>
      </c>
      <c r="C53" s="9" t="s">
        <v>235</v>
      </c>
      <c r="D53" s="9" t="s">
        <v>236</v>
      </c>
      <c r="E53" s="23">
        <v>2015</v>
      </c>
      <c r="F53" s="15" t="str">
        <f>HYPERLINK("http://teimmers.com", "teimmers.com")</f>
        <v>teimmers.com</v>
      </c>
      <c r="G53" s="9" t="s">
        <v>237</v>
      </c>
      <c r="H53" s="15" t="str">
        <f>HYPERLINK("https://my.pitchbook.com?c=570541-87", "View Company Online")</f>
        <v>View Company Online</v>
      </c>
    </row>
    <row r="54" spans="1:8" x14ac:dyDescent="0.3">
      <c r="A54" s="8" t="s">
        <v>238</v>
      </c>
      <c r="B54" s="8" t="s">
        <v>239</v>
      </c>
      <c r="C54" s="8" t="s">
        <v>240</v>
      </c>
      <c r="D54" s="8" t="s">
        <v>241</v>
      </c>
      <c r="E54" s="22">
        <v>2014</v>
      </c>
      <c r="F54" s="14" t="str">
        <f>HYPERLINK("http://acsolutions.pt", "acsolutions.pt")</f>
        <v>acsolutions.pt</v>
      </c>
      <c r="G54" s="8" t="s">
        <v>227</v>
      </c>
      <c r="H54" s="14" t="str">
        <f>HYPERLINK("https://my.pitchbook.com?c=634411-81", "View Company Online")</f>
        <v>View Company Online</v>
      </c>
    </row>
    <row r="55" spans="1:8" x14ac:dyDescent="0.3">
      <c r="A55" s="9" t="s">
        <v>242</v>
      </c>
      <c r="B55" s="9" t="s">
        <v>243</v>
      </c>
      <c r="C55" s="9" t="s">
        <v>244</v>
      </c>
      <c r="D55" s="9" t="s">
        <v>245</v>
      </c>
      <c r="E55" s="23">
        <v>2014</v>
      </c>
      <c r="F55" s="15" t="str">
        <f>HYPERLINK("http://amitylabs.com", "amitylabs.com")</f>
        <v>amitylabs.com</v>
      </c>
      <c r="G55" s="9" t="s">
        <v>246</v>
      </c>
      <c r="H55" s="15" t="str">
        <f>HYPERLINK("https://my.pitchbook.com?c=897706-63", "View Company Online")</f>
        <v>View Company Online</v>
      </c>
    </row>
    <row r="56" spans="1:8" x14ac:dyDescent="0.3">
      <c r="A56" s="8" t="s">
        <v>247</v>
      </c>
      <c r="B56" s="8" t="s">
        <v>248</v>
      </c>
      <c r="C56" s="8" t="s">
        <v>249</v>
      </c>
      <c r="D56" s="8" t="s">
        <v>250</v>
      </c>
      <c r="E56" s="22">
        <v>2014</v>
      </c>
      <c r="F56" s="14" t="str">
        <f>HYPERLINK("http://coolandcall.de", "coolandcall.de")</f>
        <v>coolandcall.de</v>
      </c>
      <c r="G56" s="8" t="s">
        <v>227</v>
      </c>
      <c r="H56" s="14" t="str">
        <f>HYPERLINK("https://my.pitchbook.com?c=912120-13", "View Company Online")</f>
        <v>View Company Online</v>
      </c>
    </row>
    <row r="57" spans="1:8" x14ac:dyDescent="0.3">
      <c r="A57" s="9" t="s">
        <v>251</v>
      </c>
      <c r="B57" s="9" t="s">
        <v>252</v>
      </c>
      <c r="C57" s="9" t="s">
        <v>253</v>
      </c>
      <c r="D57" s="9" t="s">
        <v>254</v>
      </c>
      <c r="E57" s="23">
        <v>2014</v>
      </c>
      <c r="F57" s="15" t="str">
        <f>HYPERLINK("http://www.eramco.ir", "www.eramco.ir")</f>
        <v>www.eramco.ir</v>
      </c>
      <c r="G57" s="9" t="s">
        <v>255</v>
      </c>
      <c r="H57" s="15" t="str">
        <f>HYPERLINK("https://my.pitchbook.com?c=1139135-95", "View Company Online")</f>
        <v>View Company Online</v>
      </c>
    </row>
    <row r="58" spans="1:8" x14ac:dyDescent="0.3">
      <c r="A58" s="8" t="s">
        <v>256</v>
      </c>
      <c r="B58" s="8" t="s">
        <v>257</v>
      </c>
      <c r="C58" s="8" t="s">
        <v>258</v>
      </c>
      <c r="D58" s="8" t="s">
        <v>259</v>
      </c>
      <c r="E58" s="22">
        <v>2014</v>
      </c>
      <c r="F58" s="14" t="str">
        <f>HYPERLINK("http://gtreps.net", "gtreps.net")</f>
        <v>gtreps.net</v>
      </c>
      <c r="G58" s="8" t="s">
        <v>260</v>
      </c>
      <c r="H58" s="14" t="str">
        <f>HYPERLINK("https://my.pitchbook.com?c=700036-57", "View Company Online")</f>
        <v>View Company Online</v>
      </c>
    </row>
    <row r="59" spans="1:8" x14ac:dyDescent="0.3">
      <c r="A59" s="9" t="s">
        <v>261</v>
      </c>
      <c r="B59" s="9" t="s">
        <v>262</v>
      </c>
      <c r="C59" s="9" t="s">
        <v>263</v>
      </c>
      <c r="D59" s="9" t="s">
        <v>264</v>
      </c>
      <c r="E59" s="23">
        <v>2014</v>
      </c>
      <c r="F59" s="15" t="str">
        <f>HYPERLINK("http://www.neappliedproducts.com", "www.neappliedproducts.com")</f>
        <v>www.neappliedproducts.com</v>
      </c>
      <c r="G59" s="9" t="s">
        <v>265</v>
      </c>
      <c r="H59" s="15" t="str">
        <f>HYPERLINK("https://my.pitchbook.com?c=301783-87", "View Company Online")</f>
        <v>View Company Online</v>
      </c>
    </row>
    <row r="60" spans="1:8" x14ac:dyDescent="0.3">
      <c r="A60" s="8" t="s">
        <v>266</v>
      </c>
      <c r="B60" s="8" t="s">
        <v>267</v>
      </c>
      <c r="C60" s="8" t="s">
        <v>268</v>
      </c>
      <c r="D60" s="8" t="s">
        <v>269</v>
      </c>
      <c r="E60" s="22">
        <v>2014</v>
      </c>
      <c r="F60" s="14" t="str">
        <f>HYPERLINK("http://www.ninelabs.co.kr", "www.ninelabs.co.kr")</f>
        <v>www.ninelabs.co.kr</v>
      </c>
      <c r="G60" s="8" t="s">
        <v>270</v>
      </c>
      <c r="H60" s="14" t="str">
        <f>HYPERLINK("https://my.pitchbook.com?c=1167827-68", "View Company Online")</f>
        <v>View Company Online</v>
      </c>
    </row>
    <row r="61" spans="1:8" x14ac:dyDescent="0.3">
      <c r="A61" s="9" t="s">
        <v>271</v>
      </c>
      <c r="B61" s="9" t="s">
        <v>272</v>
      </c>
      <c r="C61" s="9" t="s">
        <v>273</v>
      </c>
      <c r="D61" s="9" t="s">
        <v>274</v>
      </c>
      <c r="E61" s="23">
        <v>2014</v>
      </c>
      <c r="F61" s="15" t="str">
        <f>HYPERLINK("http://www.orbiselectric.com", "www.orbiselectric.com")</f>
        <v>www.orbiselectric.com</v>
      </c>
      <c r="G61" s="9" t="s">
        <v>275</v>
      </c>
      <c r="H61" s="15" t="str">
        <f>HYPERLINK("https://my.pitchbook.com?c=277425-37", "View Company Online")</f>
        <v>View Company Online</v>
      </c>
    </row>
    <row r="62" spans="1:8" x14ac:dyDescent="0.3">
      <c r="A62" s="8" t="s">
        <v>276</v>
      </c>
      <c r="B62" s="8" t="s">
        <v>277</v>
      </c>
      <c r="C62" s="8" t="s">
        <v>278</v>
      </c>
      <c r="D62" s="8" t="s">
        <v>279</v>
      </c>
      <c r="E62" s="22">
        <v>2013</v>
      </c>
      <c r="F62" s="14" t="str">
        <f>HYPERLINK("http://www.actasysinc.com", "www.actasysinc.com")</f>
        <v>www.actasysinc.com</v>
      </c>
      <c r="G62" s="8" t="s">
        <v>280</v>
      </c>
      <c r="H62" s="14" t="str">
        <f>HYPERLINK("https://my.pitchbook.com?c=171436-69", "View Company Online")</f>
        <v>View Company Online</v>
      </c>
    </row>
    <row r="63" spans="1:8" x14ac:dyDescent="0.3">
      <c r="A63" s="9" t="s">
        <v>281</v>
      </c>
      <c r="B63" s="9" t="s">
        <v>282</v>
      </c>
      <c r="C63" s="9" t="s">
        <v>283</v>
      </c>
      <c r="D63" s="9" t="s">
        <v>284</v>
      </c>
      <c r="E63" s="23">
        <v>2013</v>
      </c>
      <c r="F63" s="15" t="str">
        <f>HYPERLINK("http://www.adct.ca", "www.adct.ca")</f>
        <v>www.adct.ca</v>
      </c>
      <c r="G63" s="9" t="s">
        <v>285</v>
      </c>
      <c r="H63" s="15" t="str">
        <f>HYPERLINK("https://my.pitchbook.com?c=464210-65", "View Company Online")</f>
        <v>View Company Online</v>
      </c>
    </row>
    <row r="64" spans="1:8" x14ac:dyDescent="0.3">
      <c r="A64" s="8" t="s">
        <v>286</v>
      </c>
      <c r="B64" s="8" t="s">
        <v>287</v>
      </c>
      <c r="C64" s="8" t="s">
        <v>288</v>
      </c>
      <c r="D64" s="8" t="s">
        <v>151</v>
      </c>
      <c r="E64" s="22">
        <v>2013</v>
      </c>
      <c r="F64" s="14" t="str">
        <f>HYPERLINK("http://www.aligneddc.com", "www.aligneddc.com")</f>
        <v>www.aligneddc.com</v>
      </c>
      <c r="G64" s="8" t="s">
        <v>289</v>
      </c>
      <c r="H64" s="14" t="str">
        <f>HYPERLINK("https://my.pitchbook.com?c=57394-45", "View Company Online")</f>
        <v>View Company Online</v>
      </c>
    </row>
    <row r="65" spans="1:8" x14ac:dyDescent="0.3">
      <c r="A65" s="9" t="s">
        <v>290</v>
      </c>
      <c r="B65" s="9" t="s">
        <v>291</v>
      </c>
      <c r="C65" s="9" t="s">
        <v>292</v>
      </c>
      <c r="D65" s="9" t="s">
        <v>293</v>
      </c>
      <c r="E65" s="23">
        <v>2013</v>
      </c>
      <c r="F65" s="15" t="str">
        <f>HYPERLINK("http://focuscooling.es", "focuscooling.es")</f>
        <v>focuscooling.es</v>
      </c>
      <c r="G65" s="9" t="s">
        <v>294</v>
      </c>
      <c r="H65" s="15" t="str">
        <f>HYPERLINK("https://my.pitchbook.com?c=1269290-98", "View Company Online")</f>
        <v>View Company Online</v>
      </c>
    </row>
    <row r="66" spans="1:8" x14ac:dyDescent="0.3">
      <c r="A66" s="8" t="s">
        <v>295</v>
      </c>
      <c r="B66" s="8" t="s">
        <v>296</v>
      </c>
      <c r="C66" s="8" t="s">
        <v>297</v>
      </c>
      <c r="D66" s="8" t="s">
        <v>298</v>
      </c>
      <c r="E66" s="22">
        <v>2013</v>
      </c>
      <c r="F66" s="14" t="str">
        <f>HYPERLINK("http://multi-pek.com", "multi-pek.com")</f>
        <v>multi-pek.com</v>
      </c>
      <c r="G66" s="8" t="s">
        <v>299</v>
      </c>
      <c r="H66" s="14" t="str">
        <f>HYPERLINK("https://my.pitchbook.com?c=759556-63", "View Company Online")</f>
        <v>View Company Online</v>
      </c>
    </row>
    <row r="67" spans="1:8" x14ac:dyDescent="0.3">
      <c r="A67" s="9" t="s">
        <v>300</v>
      </c>
      <c r="B67" s="9" t="s">
        <v>301</v>
      </c>
      <c r="C67" s="9" t="s">
        <v>302</v>
      </c>
      <c r="D67" s="9" t="s">
        <v>113</v>
      </c>
      <c r="E67" s="23">
        <v>2013</v>
      </c>
      <c r="F67" s="15" t="str">
        <f>HYPERLINK("http://www.nautilusdt.com", "www.nautilusdt.com")</f>
        <v>www.nautilusdt.com</v>
      </c>
      <c r="G67" s="9" t="s">
        <v>303</v>
      </c>
      <c r="H67" s="15" t="str">
        <f>HYPERLINK("https://my.pitchbook.com?c=90415-81", "View Company Online")</f>
        <v>View Company Online</v>
      </c>
    </row>
    <row r="68" spans="1:8" x14ac:dyDescent="0.3">
      <c r="A68" s="8" t="s">
        <v>304</v>
      </c>
      <c r="B68" s="8" t="s">
        <v>305</v>
      </c>
      <c r="C68" s="8" t="s">
        <v>306</v>
      </c>
      <c r="D68" s="8" t="s">
        <v>307</v>
      </c>
      <c r="E68" s="22">
        <v>2013</v>
      </c>
      <c r="F68" s="14" t="str">
        <f>HYPERLINK("http://sorbusit.com", "sorbusit.com")</f>
        <v>sorbusit.com</v>
      </c>
      <c r="G68" s="8" t="s">
        <v>308</v>
      </c>
      <c r="H68" s="14" t="str">
        <f>HYPERLINK("https://my.pitchbook.com?c=1284503-50", "View Company Online")</f>
        <v>View Company Online</v>
      </c>
    </row>
    <row r="69" spans="1:8" x14ac:dyDescent="0.3">
      <c r="A69" s="9" t="s">
        <v>309</v>
      </c>
      <c r="B69" s="9" t="s">
        <v>310</v>
      </c>
      <c r="C69" s="9" t="s">
        <v>311</v>
      </c>
      <c r="D69" s="9" t="s">
        <v>312</v>
      </c>
      <c r="E69" s="23">
        <v>2012</v>
      </c>
      <c r="F69" s="15" t="str">
        <f>HYPERLINK("http://www.datum.co.uk", "www.datum.co.uk")</f>
        <v>www.datum.co.uk</v>
      </c>
      <c r="G69" s="9" t="s">
        <v>313</v>
      </c>
      <c r="H69" s="15" t="str">
        <f>HYPERLINK("https://my.pitchbook.com?c=481362-22", "View Company Online")</f>
        <v>View Company Online</v>
      </c>
    </row>
    <row r="70" spans="1:8" x14ac:dyDescent="0.3">
      <c r="A70" s="8" t="s">
        <v>314</v>
      </c>
      <c r="B70" s="8" t="s">
        <v>315</v>
      </c>
      <c r="C70" s="8" t="s">
        <v>316</v>
      </c>
      <c r="D70" s="8" t="s">
        <v>317</v>
      </c>
      <c r="E70" s="22">
        <v>2012</v>
      </c>
      <c r="F70" s="14" t="str">
        <f>HYPERLINK("http://www.greenergytec.ca", "www.greenergytec.ca")</f>
        <v>www.greenergytec.ca</v>
      </c>
      <c r="G70" s="8" t="s">
        <v>318</v>
      </c>
      <c r="H70" s="14" t="str">
        <f>HYPERLINK("https://my.pitchbook.com?c=532119-88", "View Company Online")</f>
        <v>View Company Online</v>
      </c>
    </row>
    <row r="71" spans="1:8" x14ac:dyDescent="0.3">
      <c r="A71" s="9" t="s">
        <v>319</v>
      </c>
      <c r="B71" s="9" t="s">
        <v>320</v>
      </c>
      <c r="C71" s="9" t="s">
        <v>321</v>
      </c>
      <c r="D71" s="9" t="s">
        <v>322</v>
      </c>
      <c r="E71" s="23">
        <v>2012</v>
      </c>
      <c r="F71" s="9" t="s">
        <v>227</v>
      </c>
      <c r="G71" s="9" t="s">
        <v>323</v>
      </c>
      <c r="H71" s="15" t="str">
        <f>HYPERLINK("https://my.pitchbook.com?c=1367479-36", "View Company Online")</f>
        <v>View Company Online</v>
      </c>
    </row>
    <row r="72" spans="1:8" x14ac:dyDescent="0.3">
      <c r="A72" s="8" t="s">
        <v>324</v>
      </c>
      <c r="B72" s="8" t="s">
        <v>325</v>
      </c>
      <c r="C72" s="8" t="s">
        <v>326</v>
      </c>
      <c r="D72" s="8" t="s">
        <v>327</v>
      </c>
      <c r="E72" s="22">
        <v>2011</v>
      </c>
      <c r="F72" s="14" t="str">
        <f>HYPERLINK("http://infiniti-it.co.uk", "infiniti-it.co.uk")</f>
        <v>infiniti-it.co.uk</v>
      </c>
      <c r="G72" s="8" t="s">
        <v>328</v>
      </c>
      <c r="H72" s="14" t="str">
        <f>HYPERLINK("https://my.pitchbook.com?c=656153-20", "View Company Online")</f>
        <v>View Company Online</v>
      </c>
    </row>
    <row r="73" spans="1:8" x14ac:dyDescent="0.3">
      <c r="A73" s="9" t="s">
        <v>329</v>
      </c>
      <c r="B73" s="9" t="s">
        <v>330</v>
      </c>
      <c r="C73" s="9" t="s">
        <v>331</v>
      </c>
      <c r="D73" s="9" t="s">
        <v>332</v>
      </c>
      <c r="E73" s="23">
        <v>2011</v>
      </c>
      <c r="F73" s="15" t="str">
        <f>HYPERLINK("http://www.naturalcycleenergy.com", "www.naturalcycleenergy.com")</f>
        <v>www.naturalcycleenergy.com</v>
      </c>
      <c r="G73" s="9" t="s">
        <v>333</v>
      </c>
      <c r="H73" s="15" t="str">
        <f>HYPERLINK("https://my.pitchbook.com?c=512297-02", "View Company Online")</f>
        <v>View Company Online</v>
      </c>
    </row>
    <row r="74" spans="1:8" x14ac:dyDescent="0.3">
      <c r="A74" s="8" t="s">
        <v>334</v>
      </c>
      <c r="B74" s="8" t="s">
        <v>335</v>
      </c>
      <c r="C74" s="8" t="s">
        <v>336</v>
      </c>
      <c r="D74" s="8" t="s">
        <v>337</v>
      </c>
      <c r="E74" s="22">
        <v>2010</v>
      </c>
      <c r="F74" s="14" t="str">
        <f>HYPERLINK("http://bkkt-online.de", "bkkt-online.de")</f>
        <v>bkkt-online.de</v>
      </c>
      <c r="G74" s="8" t="s">
        <v>227</v>
      </c>
      <c r="H74" s="14" t="str">
        <f>HYPERLINK("https://my.pitchbook.com?c=1057293-37", "View Company Online")</f>
        <v>View Company Online</v>
      </c>
    </row>
    <row r="75" spans="1:8" x14ac:dyDescent="0.3">
      <c r="A75" s="9" t="s">
        <v>338</v>
      </c>
      <c r="B75" s="9" t="s">
        <v>339</v>
      </c>
      <c r="C75" s="9" t="s">
        <v>340</v>
      </c>
      <c r="D75" s="9" t="s">
        <v>341</v>
      </c>
      <c r="E75" s="23">
        <v>2010</v>
      </c>
      <c r="F75" s="15" t="str">
        <f>HYPERLINK("http://www.cool-shield.com", "www.cool-shield.com")</f>
        <v>www.cool-shield.com</v>
      </c>
      <c r="G75" s="9" t="s">
        <v>342</v>
      </c>
      <c r="H75" s="15" t="str">
        <f>HYPERLINK("https://my.pitchbook.com?c=286948-90", "View Company Online")</f>
        <v>View Company Online</v>
      </c>
    </row>
    <row r="76" spans="1:8" x14ac:dyDescent="0.3">
      <c r="A76" s="8" t="s">
        <v>343</v>
      </c>
      <c r="B76" s="8" t="s">
        <v>344</v>
      </c>
      <c r="C76" s="8" t="s">
        <v>345</v>
      </c>
      <c r="D76" s="8" t="s">
        <v>346</v>
      </c>
      <c r="E76" s="22">
        <v>2010</v>
      </c>
      <c r="F76" s="14" t="str">
        <f>HYPERLINK("http://www.excool.com", "www.excool.com")</f>
        <v>www.excool.com</v>
      </c>
      <c r="G76" s="8" t="s">
        <v>347</v>
      </c>
      <c r="H76" s="14" t="str">
        <f>HYPERLINK("https://my.pitchbook.com?c=207551-53", "View Company Online")</f>
        <v>View Company Online</v>
      </c>
    </row>
    <row r="77" spans="1:8" x14ac:dyDescent="0.3">
      <c r="A77" s="9" t="s">
        <v>348</v>
      </c>
      <c r="B77" s="9" t="s">
        <v>349</v>
      </c>
      <c r="C77" s="9" t="s">
        <v>350</v>
      </c>
      <c r="D77" s="9" t="s">
        <v>351</v>
      </c>
      <c r="E77" s="23">
        <v>2010</v>
      </c>
      <c r="F77" s="15" t="str">
        <f>HYPERLINK("http://gateamservices.com", "gateamservices.com")</f>
        <v>gateamservices.com</v>
      </c>
      <c r="G77" s="9" t="s">
        <v>352</v>
      </c>
      <c r="H77" s="15" t="str">
        <f>HYPERLINK("https://my.pitchbook.com?c=905010-04", "View Company Online")</f>
        <v>View Company Online</v>
      </c>
    </row>
    <row r="78" spans="1:8" x14ac:dyDescent="0.3">
      <c r="A78" s="8" t="s">
        <v>353</v>
      </c>
      <c r="B78" s="8" t="s">
        <v>354</v>
      </c>
      <c r="C78" s="8" t="s">
        <v>355</v>
      </c>
      <c r="D78" s="8" t="s">
        <v>356</v>
      </c>
      <c r="E78" s="22">
        <v>2010</v>
      </c>
      <c r="F78" s="14" t="str">
        <f>HYPERLINK("http://kaltra.com", "kaltra.com")</f>
        <v>kaltra.com</v>
      </c>
      <c r="G78" s="8" t="s">
        <v>357</v>
      </c>
      <c r="H78" s="14" t="str">
        <f>HYPERLINK("https://my.pitchbook.com?c=549419-50", "View Company Online")</f>
        <v>View Company Online</v>
      </c>
    </row>
    <row r="79" spans="1:8" x14ac:dyDescent="0.3">
      <c r="A79" s="9" t="s">
        <v>358</v>
      </c>
      <c r="B79" s="9" t="s">
        <v>359</v>
      </c>
      <c r="C79" s="9" t="s">
        <v>360</v>
      </c>
      <c r="D79" s="9" t="s">
        <v>361</v>
      </c>
      <c r="E79" s="23">
        <v>2010</v>
      </c>
      <c r="F79" s="15" t="str">
        <f>HYPERLINK("http://www.lefdalmine.com", "www.lefdalmine.com")</f>
        <v>www.lefdalmine.com</v>
      </c>
      <c r="G79" s="9" t="s">
        <v>362</v>
      </c>
      <c r="H79" s="15" t="str">
        <f>HYPERLINK("https://my.pitchbook.com?c=112754-35", "View Company Online")</f>
        <v>View Company Online</v>
      </c>
    </row>
    <row r="80" spans="1:8" x14ac:dyDescent="0.3">
      <c r="A80" s="8" t="s">
        <v>363</v>
      </c>
      <c r="B80" s="8" t="s">
        <v>364</v>
      </c>
      <c r="C80" s="8" t="s">
        <v>365</v>
      </c>
      <c r="D80" s="8" t="s">
        <v>366</v>
      </c>
      <c r="E80" s="22">
        <v>2010</v>
      </c>
      <c r="F80" s="14" t="str">
        <f>HYPERLINK("http://www.midasimmersion.com", "www.midasimmersion.com")</f>
        <v>www.midasimmersion.com</v>
      </c>
      <c r="G80" s="8" t="s">
        <v>367</v>
      </c>
      <c r="H80" s="14" t="str">
        <f>HYPERLINK("https://my.pitchbook.com?c=465476-59", "View Company Online")</f>
        <v>View Company Online</v>
      </c>
    </row>
    <row r="81" spans="1:8" x14ac:dyDescent="0.3">
      <c r="A81" s="9" t="s">
        <v>368</v>
      </c>
      <c r="B81" s="9" t="s">
        <v>369</v>
      </c>
      <c r="C81" s="9" t="s">
        <v>370</v>
      </c>
      <c r="D81" s="9" t="s">
        <v>206</v>
      </c>
      <c r="E81" s="23">
        <v>2009</v>
      </c>
      <c r="F81" s="15" t="str">
        <f>HYPERLINK("http://www.alseyecorp.com", "www.alseyecorp.com")</f>
        <v>www.alseyecorp.com</v>
      </c>
      <c r="G81" s="9" t="s">
        <v>371</v>
      </c>
      <c r="H81" s="15" t="str">
        <f>HYPERLINK("https://my.pitchbook.com?c=969911-83", "View Company Online")</f>
        <v>View Company Online</v>
      </c>
    </row>
    <row r="82" spans="1:8" x14ac:dyDescent="0.3">
      <c r="A82" s="8" t="s">
        <v>372</v>
      </c>
      <c r="B82" s="8" t="s">
        <v>373</v>
      </c>
      <c r="C82" s="8" t="s">
        <v>374</v>
      </c>
      <c r="D82" s="8" t="s">
        <v>375</v>
      </c>
      <c r="E82" s="22">
        <v>2009</v>
      </c>
      <c r="F82" s="14" t="str">
        <f>HYPERLINK("http://easybreezyac.com", "easybreezyac.com")</f>
        <v>easybreezyac.com</v>
      </c>
      <c r="G82" s="8" t="s">
        <v>376</v>
      </c>
      <c r="H82" s="14" t="str">
        <f>HYPERLINK("https://my.pitchbook.com?c=288592-39", "View Company Online")</f>
        <v>View Company Online</v>
      </c>
    </row>
    <row r="83" spans="1:8" x14ac:dyDescent="0.3">
      <c r="A83" s="9" t="s">
        <v>377</v>
      </c>
      <c r="B83" s="9" t="s">
        <v>378</v>
      </c>
      <c r="C83" s="9" t="s">
        <v>379</v>
      </c>
      <c r="D83" s="9" t="s">
        <v>366</v>
      </c>
      <c r="E83" s="23">
        <v>2009</v>
      </c>
      <c r="F83" s="15" t="str">
        <f>HYPERLINK("http://www.grcooling.com", "www.grcooling.com")</f>
        <v>www.grcooling.com</v>
      </c>
      <c r="G83" s="9" t="s">
        <v>380</v>
      </c>
      <c r="H83" s="15" t="str">
        <f>HYPERLINK("https://my.pitchbook.com?c=90603-37", "View Company Online")</f>
        <v>View Company Online</v>
      </c>
    </row>
    <row r="84" spans="1:8" x14ac:dyDescent="0.3">
      <c r="A84" s="8" t="s">
        <v>381</v>
      </c>
      <c r="B84" s="8" t="s">
        <v>382</v>
      </c>
      <c r="C84" s="8" t="s">
        <v>383</v>
      </c>
      <c r="D84" s="8" t="s">
        <v>384</v>
      </c>
      <c r="E84" s="22">
        <v>2009</v>
      </c>
      <c r="F84" s="14" t="str">
        <f>HYPERLINK("http://sourceups.co.uk", "sourceups.co.uk")</f>
        <v>sourceups.co.uk</v>
      </c>
      <c r="G84" s="8" t="s">
        <v>385</v>
      </c>
      <c r="H84" s="14" t="str">
        <f>HYPERLINK("https://my.pitchbook.com?c=630275-59", "View Company Online")</f>
        <v>View Company Online</v>
      </c>
    </row>
    <row r="85" spans="1:8" x14ac:dyDescent="0.3">
      <c r="A85" s="9" t="s">
        <v>386</v>
      </c>
      <c r="B85" s="9" t="s">
        <v>387</v>
      </c>
      <c r="C85" s="9" t="s">
        <v>388</v>
      </c>
      <c r="D85" s="9" t="s">
        <v>317</v>
      </c>
      <c r="E85" s="23">
        <v>2009</v>
      </c>
      <c r="F85" s="15" t="str">
        <f>HYPERLINK("http://sct-inc.com", "sct-inc.com")</f>
        <v>sct-inc.com</v>
      </c>
      <c r="G85" s="9" t="s">
        <v>389</v>
      </c>
      <c r="H85" s="15" t="str">
        <f>HYPERLINK("https://my.pitchbook.com?c=622003-51", "View Company Online")</f>
        <v>View Company Online</v>
      </c>
    </row>
    <row r="86" spans="1:8" x14ac:dyDescent="0.3">
      <c r="A86" s="8" t="s">
        <v>390</v>
      </c>
      <c r="B86" s="8" t="s">
        <v>391</v>
      </c>
      <c r="C86" s="8" t="s">
        <v>392</v>
      </c>
      <c r="D86" s="8" t="s">
        <v>393</v>
      </c>
      <c r="E86" s="22">
        <v>2009</v>
      </c>
      <c r="F86" s="14" t="str">
        <f>HYPERLINK("http://www.blackshields.com.cn", "www.blackshields.com.cn")</f>
        <v>www.blackshields.com.cn</v>
      </c>
      <c r="G86" s="8" t="s">
        <v>394</v>
      </c>
      <c r="H86" s="14" t="str">
        <f>HYPERLINK("https://my.pitchbook.com?c=865854-91", "View Company Online")</f>
        <v>View Company Online</v>
      </c>
    </row>
    <row r="87" spans="1:8" x14ac:dyDescent="0.3">
      <c r="A87" s="9" t="s">
        <v>395</v>
      </c>
      <c r="B87" s="9" t="s">
        <v>396</v>
      </c>
      <c r="C87" s="9" t="s">
        <v>397</v>
      </c>
      <c r="D87" s="9" t="s">
        <v>398</v>
      </c>
      <c r="E87" s="23">
        <v>2009</v>
      </c>
      <c r="F87" s="15" t="str">
        <f>HYPERLINK("http://vobyte.nl", "vobyte.nl")</f>
        <v>vobyte.nl</v>
      </c>
      <c r="G87" s="9" t="s">
        <v>399</v>
      </c>
      <c r="H87" s="15" t="str">
        <f>HYPERLINK("https://my.pitchbook.com?c=647328-25", "View Company Online")</f>
        <v>View Company Online</v>
      </c>
    </row>
    <row r="88" spans="1:8" x14ac:dyDescent="0.3">
      <c r="A88" s="8" t="s">
        <v>400</v>
      </c>
      <c r="B88" s="8" t="s">
        <v>401</v>
      </c>
      <c r="C88" s="8" t="s">
        <v>402</v>
      </c>
      <c r="D88" s="8" t="s">
        <v>403</v>
      </c>
      <c r="E88" s="22">
        <v>2008</v>
      </c>
      <c r="F88" s="14" t="str">
        <f>HYPERLINK("http://banibands.com", "banibands.com")</f>
        <v>banibands.com</v>
      </c>
      <c r="G88" s="8" t="s">
        <v>404</v>
      </c>
      <c r="H88" s="14" t="str">
        <f>HYPERLINK("https://my.pitchbook.com?c=282651-13", "View Company Online")</f>
        <v>View Company Online</v>
      </c>
    </row>
    <row r="89" spans="1:8" x14ac:dyDescent="0.3">
      <c r="A89" s="9" t="s">
        <v>405</v>
      </c>
      <c r="B89" s="9" t="s">
        <v>406</v>
      </c>
      <c r="C89" s="9" t="s">
        <v>407</v>
      </c>
      <c r="D89" s="9" t="s">
        <v>408</v>
      </c>
      <c r="E89" s="23">
        <v>2008</v>
      </c>
      <c r="F89" s="15" t="str">
        <f>HYPERLINK("http://www.fiberoptiqllc.com", "www.fiberoptiqllc.com")</f>
        <v>www.fiberoptiqllc.com</v>
      </c>
      <c r="G89" s="9" t="s">
        <v>409</v>
      </c>
      <c r="H89" s="15" t="str">
        <f>HYPERLINK("https://my.pitchbook.com?c=597245-95", "View Company Online")</f>
        <v>View Company Online</v>
      </c>
    </row>
    <row r="90" spans="1:8" x14ac:dyDescent="0.3">
      <c r="A90" s="8" t="s">
        <v>410</v>
      </c>
      <c r="B90" s="8" t="s">
        <v>411</v>
      </c>
      <c r="C90" s="8" t="s">
        <v>412</v>
      </c>
      <c r="D90" s="8" t="s">
        <v>133</v>
      </c>
      <c r="E90" s="22">
        <v>2008</v>
      </c>
      <c r="F90" s="14" t="str">
        <f>HYPERLINK("http://ningresearch.sg", "ningresearch.sg")</f>
        <v>ningresearch.sg</v>
      </c>
      <c r="G90" s="8" t="s">
        <v>413</v>
      </c>
      <c r="H90" s="14" t="str">
        <f>HYPERLINK("https://my.pitchbook.com?c=568199-98", "View Company Online")</f>
        <v>View Company Online</v>
      </c>
    </row>
    <row r="91" spans="1:8" x14ac:dyDescent="0.3">
      <c r="A91" s="9" t="s">
        <v>414</v>
      </c>
      <c r="B91" s="9" t="s">
        <v>415</v>
      </c>
      <c r="C91" s="9" t="s">
        <v>416</v>
      </c>
      <c r="D91" s="9" t="s">
        <v>417</v>
      </c>
      <c r="E91" s="23">
        <v>2008</v>
      </c>
      <c r="F91" s="15" t="str">
        <f>HYPERLINK("http://www.profile-solution.com", "www.profile-solution.com")</f>
        <v>www.profile-solution.com</v>
      </c>
      <c r="G91" s="9" t="s">
        <v>418</v>
      </c>
      <c r="H91" s="15" t="str">
        <f>HYPERLINK("https://my.pitchbook.com?c=812059-39", "View Company Online")</f>
        <v>View Company Online</v>
      </c>
    </row>
    <row r="92" spans="1:8" x14ac:dyDescent="0.3">
      <c r="A92" s="8" t="s">
        <v>419</v>
      </c>
      <c r="B92" s="8" t="s">
        <v>420</v>
      </c>
      <c r="C92" s="8" t="s">
        <v>421</v>
      </c>
      <c r="D92" s="8" t="s">
        <v>422</v>
      </c>
      <c r="E92" s="22">
        <v>2008</v>
      </c>
      <c r="F92" s="14" t="str">
        <f>HYPERLINK("http://scs-cooling.de", "scs-cooling.de")</f>
        <v>scs-cooling.de</v>
      </c>
      <c r="G92" s="8" t="s">
        <v>227</v>
      </c>
      <c r="H92" s="14" t="str">
        <f>HYPERLINK("https://my.pitchbook.com?c=569874-70", "View Company Online")</f>
        <v>View Company Online</v>
      </c>
    </row>
    <row r="93" spans="1:8" x14ac:dyDescent="0.3">
      <c r="A93" s="9" t="s">
        <v>423</v>
      </c>
      <c r="B93" s="9" t="s">
        <v>424</v>
      </c>
      <c r="C93" s="9" t="s">
        <v>425</v>
      </c>
      <c r="D93" s="9" t="s">
        <v>426</v>
      </c>
      <c r="E93" s="23">
        <v>2004</v>
      </c>
      <c r="F93" s="15" t="str">
        <f>HYPERLINK("http://primariaweb.it", "primariaweb.it")</f>
        <v>primariaweb.it</v>
      </c>
      <c r="G93" s="9" t="s">
        <v>427</v>
      </c>
      <c r="H93" s="15" t="str">
        <f>HYPERLINK("https://my.pitchbook.com?c=551930-41", "View Company Online")</f>
        <v>View Company Online</v>
      </c>
    </row>
    <row r="94" spans="1:8" x14ac:dyDescent="0.3">
      <c r="A94" s="8" t="s">
        <v>428</v>
      </c>
      <c r="B94" s="8" t="s">
        <v>429</v>
      </c>
      <c r="C94" s="8" t="s">
        <v>430</v>
      </c>
      <c r="D94" s="8" t="s">
        <v>431</v>
      </c>
      <c r="E94" s="22">
        <v>2003</v>
      </c>
      <c r="F94" s="14" t="str">
        <f>HYPERLINK("http://frontrangeconstructioninc.com", "frontrangeconstructioninc.com")</f>
        <v>frontrangeconstructioninc.com</v>
      </c>
      <c r="G94" s="8" t="s">
        <v>432</v>
      </c>
      <c r="H94" s="14" t="str">
        <f>HYPERLINK("https://my.pitchbook.com?c=292648-06", "View Company Online")</f>
        <v>View Company Online</v>
      </c>
    </row>
    <row r="95" spans="1:8" x14ac:dyDescent="0.3">
      <c r="A95" s="9" t="s">
        <v>433</v>
      </c>
      <c r="B95" s="9" t="s">
        <v>434</v>
      </c>
      <c r="C95" s="9" t="s">
        <v>435</v>
      </c>
      <c r="D95" s="9" t="s">
        <v>436</v>
      </c>
      <c r="E95" s="23">
        <v>2003</v>
      </c>
      <c r="F95" s="15" t="str">
        <f>HYPERLINK("http://telecompcfl.com", "telecompcfl.com")</f>
        <v>telecompcfl.com</v>
      </c>
      <c r="G95" s="9" t="s">
        <v>437</v>
      </c>
      <c r="H95" s="15" t="str">
        <f>HYPERLINK("https://my.pitchbook.com?c=326956-87", "View Company Online")</f>
        <v>View Company Online</v>
      </c>
    </row>
    <row r="96" spans="1:8" x14ac:dyDescent="0.3">
      <c r="A96" s="8" t="s">
        <v>438</v>
      </c>
      <c r="B96" s="8" t="s">
        <v>439</v>
      </c>
      <c r="C96" s="8" t="s">
        <v>440</v>
      </c>
      <c r="D96" s="8" t="s">
        <v>441</v>
      </c>
      <c r="E96" s="22">
        <v>2002</v>
      </c>
      <c r="F96" s="14" t="str">
        <f>HYPERLINK("http://aceservices.uk.com", "aceservices.uk.com")</f>
        <v>aceservices.uk.com</v>
      </c>
      <c r="G96" s="8" t="s">
        <v>442</v>
      </c>
      <c r="H96" s="14" t="str">
        <f>HYPERLINK("https://my.pitchbook.com?c=816189-49", "View Company Online")</f>
        <v>View Company Online</v>
      </c>
    </row>
    <row r="97" spans="1:8" x14ac:dyDescent="0.3">
      <c r="A97" s="9" t="s">
        <v>443</v>
      </c>
      <c r="B97" s="9" t="s">
        <v>444</v>
      </c>
      <c r="C97" s="9" t="s">
        <v>445</v>
      </c>
      <c r="D97" s="9" t="s">
        <v>446</v>
      </c>
      <c r="E97" s="23">
        <v>2002</v>
      </c>
      <c r="F97" s="15" t="str">
        <f>HYPERLINK("http://www.ecocooling.co.uk", "www.ecocooling.co.uk")</f>
        <v>www.ecocooling.co.uk</v>
      </c>
      <c r="G97" s="9" t="s">
        <v>447</v>
      </c>
      <c r="H97" s="15" t="str">
        <f>HYPERLINK("https://my.pitchbook.com?c=559439-92", "View Company Online")</f>
        <v>View Company Online</v>
      </c>
    </row>
    <row r="98" spans="1:8" x14ac:dyDescent="0.3">
      <c r="A98" s="8" t="s">
        <v>448</v>
      </c>
      <c r="B98" s="8" t="s">
        <v>449</v>
      </c>
      <c r="C98" s="8" t="s">
        <v>450</v>
      </c>
      <c r="D98" s="8" t="s">
        <v>451</v>
      </c>
      <c r="E98" s="22">
        <v>2001</v>
      </c>
      <c r="F98" s="14" t="str">
        <f>HYPERLINK("http://chil-pak.com", "chil-pak.com")</f>
        <v>chil-pak.com</v>
      </c>
      <c r="G98" s="8" t="s">
        <v>452</v>
      </c>
      <c r="H98" s="14" t="str">
        <f>HYPERLINK("https://my.pitchbook.com?c=734721-49", "View Company Online")</f>
        <v>View Company Online</v>
      </c>
    </row>
    <row r="99" spans="1:8" x14ac:dyDescent="0.3">
      <c r="A99" s="9" t="s">
        <v>453</v>
      </c>
      <c r="B99" s="9" t="s">
        <v>454</v>
      </c>
      <c r="C99" s="9" t="s">
        <v>455</v>
      </c>
      <c r="D99" s="9" t="s">
        <v>456</v>
      </c>
      <c r="E99" s="23">
        <v>2001</v>
      </c>
      <c r="F99" s="15" t="str">
        <f>HYPERLINK("http://www.coolitsystems.com", "www.coolitsystems.com")</f>
        <v>www.coolitsystems.com</v>
      </c>
      <c r="G99" s="9" t="s">
        <v>457</v>
      </c>
      <c r="H99" s="15" t="str">
        <f>HYPERLINK("https://my.pitchbook.com?c=52939-90", "View Company Online")</f>
        <v>View Company Online</v>
      </c>
    </row>
    <row r="100" spans="1:8" x14ac:dyDescent="0.3">
      <c r="A100" s="8" t="s">
        <v>458</v>
      </c>
      <c r="B100" s="8" t="s">
        <v>459</v>
      </c>
      <c r="C100" s="8" t="s">
        <v>460</v>
      </c>
      <c r="D100" s="8" t="s">
        <v>461</v>
      </c>
      <c r="E100" s="22">
        <v>2000</v>
      </c>
      <c r="F100" s="14" t="str">
        <f>HYPERLINK("http://geocomfort.nl", "geocomfort.nl")</f>
        <v>geocomfort.nl</v>
      </c>
      <c r="G100" s="8" t="s">
        <v>462</v>
      </c>
      <c r="H100" s="14" t="str">
        <f>HYPERLINK("https://my.pitchbook.com?c=1379968-75", "View Company Online")</f>
        <v>View Company Online</v>
      </c>
    </row>
    <row r="101" spans="1:8" x14ac:dyDescent="0.3">
      <c r="A101" s="9" t="s">
        <v>463</v>
      </c>
      <c r="B101" s="9" t="s">
        <v>464</v>
      </c>
      <c r="C101" s="9" t="s">
        <v>465</v>
      </c>
      <c r="D101" s="9" t="s">
        <v>466</v>
      </c>
      <c r="E101" s="23">
        <v>2000</v>
      </c>
      <c r="F101" s="15" t="str">
        <f>HYPERLINK("http://pqsmc.com", "pqsmc.com")</f>
        <v>pqsmc.com</v>
      </c>
      <c r="G101" s="9" t="s">
        <v>467</v>
      </c>
      <c r="H101" s="15" t="str">
        <f>HYPERLINK("https://my.pitchbook.com?c=654580-36", "View Company Online")</f>
        <v>View Company Online</v>
      </c>
    </row>
    <row r="102" spans="1:8" x14ac:dyDescent="0.3">
      <c r="A102" s="8" t="s">
        <v>468</v>
      </c>
      <c r="B102" s="8" t="s">
        <v>469</v>
      </c>
      <c r="C102" s="8" t="s">
        <v>470</v>
      </c>
      <c r="D102" s="8" t="s">
        <v>471</v>
      </c>
      <c r="E102" s="22">
        <v>1999</v>
      </c>
      <c r="F102" s="14" t="str">
        <f>HYPERLINK("http://dbengineering.net", "dbengineering.net")</f>
        <v>dbengineering.net</v>
      </c>
      <c r="G102" s="8" t="s">
        <v>472</v>
      </c>
      <c r="H102" s="14" t="str">
        <f>HYPERLINK("https://my.pitchbook.com?c=288737-74", "View Company Online")</f>
        <v>View Company Online</v>
      </c>
    </row>
    <row r="103" spans="1:8" x14ac:dyDescent="0.3">
      <c r="A103" s="9" t="s">
        <v>473</v>
      </c>
      <c r="B103" s="9" t="s">
        <v>474</v>
      </c>
      <c r="C103" s="9" t="s">
        <v>475</v>
      </c>
      <c r="D103" s="9" t="s">
        <v>476</v>
      </c>
      <c r="E103" s="23">
        <v>1999</v>
      </c>
      <c r="F103" s="15" t="str">
        <f>HYPERLINK("http://www.ksklimatechnik.de", "www.ksklimatechnik.de")</f>
        <v>www.ksklimatechnik.de</v>
      </c>
      <c r="G103" s="9" t="s">
        <v>227</v>
      </c>
      <c r="H103" s="15" t="str">
        <f>HYPERLINK("https://my.pitchbook.com?c=1320448-24", "View Company Online")</f>
        <v>View Company Online</v>
      </c>
    </row>
    <row r="104" spans="1:8" x14ac:dyDescent="0.3">
      <c r="A104" s="8" t="s">
        <v>477</v>
      </c>
      <c r="B104" s="8" t="s">
        <v>478</v>
      </c>
      <c r="C104" s="8" t="s">
        <v>479</v>
      </c>
      <c r="D104" s="8" t="s">
        <v>480</v>
      </c>
      <c r="E104" s="22">
        <v>1999</v>
      </c>
      <c r="F104" s="14" t="str">
        <f>HYPERLINK("http://sk-kaeltetechnik.de", "sk-kaeltetechnik.de")</f>
        <v>sk-kaeltetechnik.de</v>
      </c>
      <c r="G104" s="8" t="s">
        <v>227</v>
      </c>
      <c r="H104" s="14" t="str">
        <f>HYPERLINK("https://my.pitchbook.com?c=212948-83", "View Company Online")</f>
        <v>View Company Online</v>
      </c>
    </row>
    <row r="105" spans="1:8" x14ac:dyDescent="0.3">
      <c r="A105" s="9" t="s">
        <v>481</v>
      </c>
      <c r="B105" s="9" t="s">
        <v>482</v>
      </c>
      <c r="C105" s="9" t="s">
        <v>483</v>
      </c>
      <c r="D105" s="9" t="s">
        <v>484</v>
      </c>
      <c r="E105" s="23">
        <v>1999</v>
      </c>
      <c r="F105" s="15" t="str">
        <f>HYPERLINK("http://skylineac.com", "skylineac.com")</f>
        <v>skylineac.com</v>
      </c>
      <c r="G105" s="9" t="s">
        <v>485</v>
      </c>
      <c r="H105" s="15" t="str">
        <f>HYPERLINK("https://my.pitchbook.com?c=543326-50", "View Company Online")</f>
        <v>View Company Online</v>
      </c>
    </row>
    <row r="106" spans="1:8" x14ac:dyDescent="0.3">
      <c r="A106" s="8" t="s">
        <v>486</v>
      </c>
      <c r="B106" s="8" t="s">
        <v>487</v>
      </c>
      <c r="C106" s="8" t="s">
        <v>488</v>
      </c>
      <c r="D106" s="8" t="s">
        <v>489</v>
      </c>
      <c r="E106" s="22">
        <v>1998</v>
      </c>
      <c r="F106" s="14" t="str">
        <f>HYPERLINK("http://www.e3nv.com", "www.e3nv.com")</f>
        <v>www.e3nv.com</v>
      </c>
      <c r="G106" s="8" t="s">
        <v>490</v>
      </c>
      <c r="H106" s="14" t="str">
        <f>HYPERLINK("https://my.pitchbook.com?c=364832-02", "View Company Online")</f>
        <v>View Company Online</v>
      </c>
    </row>
    <row r="107" spans="1:8" x14ac:dyDescent="0.3">
      <c r="A107" s="9" t="s">
        <v>491</v>
      </c>
      <c r="B107" s="9" t="s">
        <v>492</v>
      </c>
      <c r="C107" s="9" t="s">
        <v>493</v>
      </c>
      <c r="D107" s="9" t="s">
        <v>494</v>
      </c>
      <c r="E107" s="23">
        <v>1998</v>
      </c>
      <c r="F107" s="15" t="str">
        <f>HYPERLINK("http://holbornprojects.co.uk", "holbornprojects.co.uk")</f>
        <v>holbornprojects.co.uk</v>
      </c>
      <c r="G107" s="9" t="s">
        <v>495</v>
      </c>
      <c r="H107" s="15" t="str">
        <f>HYPERLINK("https://my.pitchbook.com?c=870227-38", "View Company Online")</f>
        <v>View Company Online</v>
      </c>
    </row>
    <row r="108" spans="1:8" x14ac:dyDescent="0.3">
      <c r="A108" s="8" t="s">
        <v>496</v>
      </c>
      <c r="B108" s="8" t="s">
        <v>497</v>
      </c>
      <c r="C108" s="8" t="s">
        <v>498</v>
      </c>
      <c r="D108" s="8" t="s">
        <v>499</v>
      </c>
      <c r="E108" s="22">
        <v>1997</v>
      </c>
      <c r="F108" s="14" t="str">
        <f>HYPERLINK("http://geotherm.nl", "geotherm.nl")</f>
        <v>geotherm.nl</v>
      </c>
      <c r="G108" s="8" t="s">
        <v>500</v>
      </c>
      <c r="H108" s="14" t="str">
        <f>HYPERLINK("https://my.pitchbook.com?c=548011-99", "View Company Online")</f>
        <v>View Company Online</v>
      </c>
    </row>
    <row r="109" spans="1:8" x14ac:dyDescent="0.3">
      <c r="A109" s="9" t="s">
        <v>501</v>
      </c>
      <c r="B109" s="9" t="s">
        <v>502</v>
      </c>
      <c r="C109" s="9" t="s">
        <v>503</v>
      </c>
      <c r="D109" s="9" t="s">
        <v>504</v>
      </c>
      <c r="E109" s="23">
        <v>1997</v>
      </c>
      <c r="F109" s="15" t="str">
        <f>HYPERLINK("http://www.kwikool.com", "www.kwikool.com")</f>
        <v>www.kwikool.com</v>
      </c>
      <c r="G109" s="9" t="s">
        <v>505</v>
      </c>
      <c r="H109" s="15" t="str">
        <f>HYPERLINK("https://my.pitchbook.com?c=240465-43", "View Company Online")</f>
        <v>View Company Online</v>
      </c>
    </row>
    <row r="110" spans="1:8" x14ac:dyDescent="0.3">
      <c r="A110" s="8" t="s">
        <v>506</v>
      </c>
      <c r="B110" s="8" t="s">
        <v>507</v>
      </c>
      <c r="C110" s="8" t="s">
        <v>508</v>
      </c>
      <c r="D110" s="8" t="s">
        <v>509</v>
      </c>
      <c r="E110" s="22">
        <v>1995</v>
      </c>
      <c r="F110" s="14" t="str">
        <f>HYPERLINK("http://www.42u.com", "www.42u.com")</f>
        <v>www.42u.com</v>
      </c>
      <c r="G110" s="8" t="s">
        <v>510</v>
      </c>
      <c r="H110" s="14" t="str">
        <f>HYPERLINK("https://my.pitchbook.com?c=261719-65", "View Company Online")</f>
        <v>View Company Online</v>
      </c>
    </row>
    <row r="111" spans="1:8" x14ac:dyDescent="0.3">
      <c r="A111" s="9" t="s">
        <v>511</v>
      </c>
      <c r="B111" s="9" t="s">
        <v>512</v>
      </c>
      <c r="C111" s="9" t="s">
        <v>513</v>
      </c>
      <c r="D111" s="9" t="s">
        <v>514</v>
      </c>
      <c r="E111" s="23">
        <v>1995</v>
      </c>
      <c r="F111" s="15" t="str">
        <f>HYPERLINK("http://www.airsysnorthamerica.com", "www.airsysnorthamerica.com")</f>
        <v>www.airsysnorthamerica.com</v>
      </c>
      <c r="G111" s="9" t="s">
        <v>515</v>
      </c>
      <c r="H111" s="15" t="str">
        <f>HYPERLINK("https://my.pitchbook.com?c=314141-68", "View Company Online")</f>
        <v>View Company Online</v>
      </c>
    </row>
    <row r="112" spans="1:8" x14ac:dyDescent="0.3">
      <c r="A112" s="8" t="s">
        <v>516</v>
      </c>
      <c r="B112" s="8" t="s">
        <v>517</v>
      </c>
      <c r="C112" s="8" t="s">
        <v>518</v>
      </c>
      <c r="D112" s="8" t="s">
        <v>519</v>
      </c>
      <c r="E112" s="22">
        <v>1995</v>
      </c>
      <c r="F112" s="14" t="str">
        <f>HYPERLINK("http://alcatex.com", "alcatex.com")</f>
        <v>alcatex.com</v>
      </c>
      <c r="G112" s="8" t="s">
        <v>520</v>
      </c>
      <c r="H112" s="14" t="str">
        <f>HYPERLINK("https://my.pitchbook.com?c=143513-92", "View Company Online")</f>
        <v>View Company Online</v>
      </c>
    </row>
    <row r="113" spans="1:8" x14ac:dyDescent="0.3">
      <c r="A113" s="9" t="s">
        <v>521</v>
      </c>
      <c r="B113" s="9" t="s">
        <v>522</v>
      </c>
      <c r="C113" s="9" t="s">
        <v>523</v>
      </c>
      <c r="D113" s="9" t="s">
        <v>524</v>
      </c>
      <c r="E113" s="23">
        <v>1995</v>
      </c>
      <c r="F113" s="15" t="str">
        <f>HYPERLINK("http://aralube.com", "aralube.com")</f>
        <v>aralube.com</v>
      </c>
      <c r="G113" s="9" t="s">
        <v>525</v>
      </c>
      <c r="H113" s="15" t="str">
        <f>HYPERLINK("https://my.pitchbook.com?c=925509-88", "View Company Online")</f>
        <v>View Company Online</v>
      </c>
    </row>
    <row r="114" spans="1:8" x14ac:dyDescent="0.3">
      <c r="A114" s="8" t="s">
        <v>526</v>
      </c>
      <c r="B114" s="8" t="s">
        <v>527</v>
      </c>
      <c r="C114" s="8" t="s">
        <v>528</v>
      </c>
      <c r="D114" s="8" t="s">
        <v>529</v>
      </c>
      <c r="E114" s="22">
        <v>1995</v>
      </c>
      <c r="F114" s="14" t="str">
        <f>HYPERLINK("http://airvitech.ca", "airvitech.ca")</f>
        <v>airvitech.ca</v>
      </c>
      <c r="G114" s="8" t="s">
        <v>227</v>
      </c>
      <c r="H114" s="14" t="str">
        <f>HYPERLINK("https://my.pitchbook.com?c=379884-79", "View Company Online")</f>
        <v>View Company Online</v>
      </c>
    </row>
    <row r="115" spans="1:8" x14ac:dyDescent="0.3">
      <c r="A115" s="9" t="s">
        <v>530</v>
      </c>
      <c r="B115" s="9" t="s">
        <v>531</v>
      </c>
      <c r="C115" s="9" t="s">
        <v>532</v>
      </c>
      <c r="D115" s="9" t="s">
        <v>533</v>
      </c>
      <c r="E115" s="23">
        <v>1995</v>
      </c>
      <c r="F115" s="15" t="str">
        <f>HYPERLINK("http://qasinc.net", "qasinc.net")</f>
        <v>qasinc.net</v>
      </c>
      <c r="G115" s="9" t="s">
        <v>227</v>
      </c>
      <c r="H115" s="15" t="str">
        <f>HYPERLINK("https://my.pitchbook.com?c=396957-43", "View Company Online")</f>
        <v>View Company Online</v>
      </c>
    </row>
    <row r="116" spans="1:8" x14ac:dyDescent="0.3">
      <c r="A116" s="8" t="s">
        <v>534</v>
      </c>
      <c r="B116" s="8" t="s">
        <v>535</v>
      </c>
      <c r="C116" s="8" t="s">
        <v>536</v>
      </c>
      <c r="D116" s="8" t="s">
        <v>73</v>
      </c>
      <c r="E116" s="22">
        <v>1994</v>
      </c>
      <c r="F116" s="14" t="str">
        <f>HYPERLINK("http://www.daxten.com", "www.daxten.com")</f>
        <v>www.daxten.com</v>
      </c>
      <c r="G116" s="8" t="s">
        <v>537</v>
      </c>
      <c r="H116" s="14" t="str">
        <f>HYPERLINK("https://my.pitchbook.com?c=138820-42", "View Company Online")</f>
        <v>View Company Online</v>
      </c>
    </row>
    <row r="117" spans="1:8" x14ac:dyDescent="0.3">
      <c r="A117" s="9" t="s">
        <v>538</v>
      </c>
      <c r="B117" s="9" t="s">
        <v>539</v>
      </c>
      <c r="C117" s="9" t="s">
        <v>540</v>
      </c>
      <c r="D117" s="9" t="s">
        <v>466</v>
      </c>
      <c r="E117" s="23">
        <v>1994</v>
      </c>
      <c r="F117" s="15" t="str">
        <f>HYPERLINK("http://monman.com", "monman.com")</f>
        <v>monman.com</v>
      </c>
      <c r="G117" s="9" t="s">
        <v>227</v>
      </c>
      <c r="H117" s="15" t="str">
        <f>HYPERLINK("https://my.pitchbook.com?c=397120-33", "View Company Online")</f>
        <v>View Company Online</v>
      </c>
    </row>
    <row r="118" spans="1:8" x14ac:dyDescent="0.3">
      <c r="A118" s="8" t="s">
        <v>541</v>
      </c>
      <c r="B118" s="8" t="s">
        <v>542</v>
      </c>
      <c r="C118" s="8" t="s">
        <v>543</v>
      </c>
      <c r="D118" s="8" t="s">
        <v>544</v>
      </c>
      <c r="E118" s="22">
        <v>1994</v>
      </c>
      <c r="F118" s="14" t="str">
        <f>HYPERLINK("http://www.team-prosource.com", "www.team-prosource.com")</f>
        <v>www.team-prosource.com</v>
      </c>
      <c r="G118" s="8" t="s">
        <v>545</v>
      </c>
      <c r="H118" s="14" t="str">
        <f>HYPERLINK("https://my.pitchbook.com?c=144054-91", "View Company Online")</f>
        <v>View Company Online</v>
      </c>
    </row>
    <row r="119" spans="1:8" x14ac:dyDescent="0.3">
      <c r="A119" s="9" t="s">
        <v>546</v>
      </c>
      <c r="B119" s="9" t="s">
        <v>547</v>
      </c>
      <c r="C119" s="9" t="s">
        <v>548</v>
      </c>
      <c r="D119" s="9" t="s">
        <v>549</v>
      </c>
      <c r="E119" s="23">
        <v>1993</v>
      </c>
      <c r="F119" s="15" t="str">
        <f>HYPERLINK("http://golvbolaget.se", "golvbolaget.se")</f>
        <v>golvbolaget.se</v>
      </c>
      <c r="G119" s="9" t="s">
        <v>550</v>
      </c>
      <c r="H119" s="15" t="str">
        <f>HYPERLINK("https://my.pitchbook.com?c=495326-53", "View Company Online")</f>
        <v>View Company Online</v>
      </c>
    </row>
    <row r="120" spans="1:8" x14ac:dyDescent="0.3">
      <c r="A120" s="8" t="s">
        <v>551</v>
      </c>
      <c r="B120" s="8" t="s">
        <v>552</v>
      </c>
      <c r="C120" s="8" t="s">
        <v>553</v>
      </c>
      <c r="D120" s="8" t="s">
        <v>279</v>
      </c>
      <c r="E120" s="22">
        <v>1992</v>
      </c>
      <c r="F120" s="14" t="str">
        <f>HYPERLINK("http://greenearthdata.com", "greenearthdata.com")</f>
        <v>greenearthdata.com</v>
      </c>
      <c r="G120" s="8" t="s">
        <v>554</v>
      </c>
      <c r="H120" s="14" t="str">
        <f>HYPERLINK("https://my.pitchbook.com?c=293462-74", "View Company Online")</f>
        <v>View Company Online</v>
      </c>
    </row>
    <row r="121" spans="1:8" x14ac:dyDescent="0.3">
      <c r="A121" s="9" t="s">
        <v>555</v>
      </c>
      <c r="B121" s="9" t="s">
        <v>556</v>
      </c>
      <c r="C121" s="9" t="s">
        <v>557</v>
      </c>
      <c r="D121" s="9" t="s">
        <v>558</v>
      </c>
      <c r="E121" s="23">
        <v>1991</v>
      </c>
      <c r="F121" s="15" t="str">
        <f>HYPERLINK("http://www.intramech.co.za", "www.intramech.co.za")</f>
        <v>www.intramech.co.za</v>
      </c>
      <c r="G121" s="9" t="s">
        <v>559</v>
      </c>
      <c r="H121" s="15" t="str">
        <f>HYPERLINK("https://my.pitchbook.com?c=824969-26", "View Company Online")</f>
        <v>View Company Online</v>
      </c>
    </row>
    <row r="122" spans="1:8" x14ac:dyDescent="0.3">
      <c r="A122" s="8" t="s">
        <v>560</v>
      </c>
      <c r="B122" s="8" t="s">
        <v>561</v>
      </c>
      <c r="C122" s="8" t="s">
        <v>562</v>
      </c>
      <c r="D122" s="8" t="s">
        <v>563</v>
      </c>
      <c r="E122" s="22">
        <v>1989</v>
      </c>
      <c r="F122" s="14" t="str">
        <f>HYPERLINK("http://www.guentner.de", "www.guentner.de")</f>
        <v>www.guentner.de</v>
      </c>
      <c r="G122" s="8" t="s">
        <v>227</v>
      </c>
      <c r="H122" s="14" t="str">
        <f>HYPERLINK("https://my.pitchbook.com?c=524953-00", "View Company Online")</f>
        <v>View Company Online</v>
      </c>
    </row>
    <row r="123" spans="1:8" x14ac:dyDescent="0.3">
      <c r="A123" s="9" t="s">
        <v>564</v>
      </c>
      <c r="B123" s="9" t="s">
        <v>565</v>
      </c>
      <c r="C123" s="9" t="s">
        <v>566</v>
      </c>
      <c r="D123" s="9" t="s">
        <v>567</v>
      </c>
      <c r="E123" s="23">
        <v>1987</v>
      </c>
      <c r="F123" s="15" t="str">
        <f>HYPERLINK("http://apac.nl", "apac.nl")</f>
        <v>apac.nl</v>
      </c>
      <c r="G123" s="9" t="s">
        <v>452</v>
      </c>
      <c r="H123" s="15" t="str">
        <f>HYPERLINK("https://my.pitchbook.com?c=629057-98", "View Company Online")</f>
        <v>View Company Online</v>
      </c>
    </row>
    <row r="124" spans="1:8" x14ac:dyDescent="0.3">
      <c r="A124" s="8" t="s">
        <v>568</v>
      </c>
      <c r="B124" s="8" t="s">
        <v>569</v>
      </c>
      <c r="C124" s="8" t="s">
        <v>570</v>
      </c>
      <c r="D124" s="8" t="s">
        <v>571</v>
      </c>
      <c r="E124" s="22">
        <v>1987</v>
      </c>
      <c r="F124" s="14" t="str">
        <f>HYPERLINK("http://universalengineering.co.ke", "universalengineering.co.ke")</f>
        <v>universalengineering.co.ke</v>
      </c>
      <c r="G124" s="8" t="s">
        <v>572</v>
      </c>
      <c r="H124" s="14" t="str">
        <f>HYPERLINK("https://my.pitchbook.com?c=906967-54", "View Company Online")</f>
        <v>View Company Online</v>
      </c>
    </row>
    <row r="125" spans="1:8" x14ac:dyDescent="0.3">
      <c r="A125" s="9" t="s">
        <v>573</v>
      </c>
      <c r="B125" s="9" t="s">
        <v>574</v>
      </c>
      <c r="C125" s="9" t="s">
        <v>575</v>
      </c>
      <c r="D125" s="9" t="s">
        <v>356</v>
      </c>
      <c r="E125" s="23">
        <v>1983</v>
      </c>
      <c r="F125" s="15" t="str">
        <f>HYPERLINK("http://josef-wagner.eu", "josef-wagner.eu")</f>
        <v>josef-wagner.eu</v>
      </c>
      <c r="G125" s="9" t="s">
        <v>227</v>
      </c>
      <c r="H125" s="15" t="str">
        <f>HYPERLINK("https://my.pitchbook.com?c=564748-48", "View Company Online")</f>
        <v>View Company Online</v>
      </c>
    </row>
    <row r="126" spans="1:8" x14ac:dyDescent="0.3">
      <c r="A126" s="8" t="s">
        <v>576</v>
      </c>
      <c r="B126" s="8" t="s">
        <v>577</v>
      </c>
      <c r="C126" s="8" t="s">
        <v>578</v>
      </c>
      <c r="D126" s="8" t="s">
        <v>579</v>
      </c>
      <c r="E126" s="22">
        <v>1978</v>
      </c>
      <c r="F126" s="14" t="str">
        <f>HYPERLINK("http://nstpower.com", "nstpower.com")</f>
        <v>nstpower.com</v>
      </c>
      <c r="G126" s="8" t="s">
        <v>227</v>
      </c>
      <c r="H126" s="14" t="str">
        <f>HYPERLINK("https://my.pitchbook.com?c=368739-37", "View Company Online")</f>
        <v>View Company Online</v>
      </c>
    </row>
    <row r="127" spans="1:8" x14ac:dyDescent="0.3">
      <c r="A127" s="9" t="s">
        <v>580</v>
      </c>
      <c r="B127" s="9" t="s">
        <v>581</v>
      </c>
      <c r="C127" s="9" t="s">
        <v>582</v>
      </c>
      <c r="D127" s="9" t="s">
        <v>108</v>
      </c>
      <c r="E127" s="23">
        <v>1961</v>
      </c>
      <c r="F127" s="15" t="str">
        <f>HYPERLINK("http://www.swegon.com", "www.swegon.com")</f>
        <v>www.swegon.com</v>
      </c>
      <c r="G127" s="9" t="s">
        <v>583</v>
      </c>
      <c r="H127" s="15" t="str">
        <f>HYPERLINK("https://my.pitchbook.com?c=60717-16", "View Company Online")</f>
        <v>View Company Online</v>
      </c>
    </row>
    <row r="128" spans="1:8" x14ac:dyDescent="0.3">
      <c r="A128" s="8" t="s">
        <v>584</v>
      </c>
      <c r="B128" s="8" t="s">
        <v>585</v>
      </c>
      <c r="C128" s="8" t="s">
        <v>586</v>
      </c>
      <c r="D128" s="8" t="s">
        <v>587</v>
      </c>
      <c r="E128" s="22">
        <v>1960</v>
      </c>
      <c r="F128" s="14" t="str">
        <f>HYPERLINK("http://www.frigel.com", "www.frigel.com")</f>
        <v>www.frigel.com</v>
      </c>
      <c r="G128" s="8" t="s">
        <v>588</v>
      </c>
      <c r="H128" s="14" t="str">
        <f>HYPERLINK("https://my.pitchbook.com?c=228464-02", "View Company Online")</f>
        <v>View Company Online</v>
      </c>
    </row>
    <row r="129" spans="1:8" x14ac:dyDescent="0.3">
      <c r="A129" s="9" t="s">
        <v>589</v>
      </c>
      <c r="B129" s="9" t="s">
        <v>590</v>
      </c>
      <c r="C129" s="9" t="s">
        <v>591</v>
      </c>
      <c r="D129" s="9" t="s">
        <v>592</v>
      </c>
      <c r="E129" s="23">
        <v>1893</v>
      </c>
      <c r="F129" s="15" t="str">
        <f>HYPERLINK("http://www.cstindustries.com", "www.cstindustries.com")</f>
        <v>www.cstindustries.com</v>
      </c>
      <c r="G129" s="9" t="s">
        <v>593</v>
      </c>
      <c r="H129" s="15" t="str">
        <f>HYPERLINK("https://my.pitchbook.com?c=12271-60", "View Company Online")</f>
        <v>View Company Online</v>
      </c>
    </row>
    <row r="130" spans="1:8" x14ac:dyDescent="0.3">
      <c r="A130" s="8" t="s">
        <v>594</v>
      </c>
      <c r="B130" s="8" t="s">
        <v>595</v>
      </c>
      <c r="C130" s="8" t="s">
        <v>596</v>
      </c>
      <c r="D130" s="8" t="s">
        <v>597</v>
      </c>
      <c r="E130" s="22" t="s">
        <v>227</v>
      </c>
      <c r="F130" s="8" t="s">
        <v>227</v>
      </c>
      <c r="G130" s="8" t="s">
        <v>598</v>
      </c>
      <c r="H130" s="14" t="str">
        <f>HYPERLINK("https://my.pitchbook.com?c=522689-23", "View Company Online")</f>
        <v>View Company Online</v>
      </c>
    </row>
    <row r="131" spans="1:8" x14ac:dyDescent="0.3">
      <c r="A131" s="9" t="s">
        <v>599</v>
      </c>
      <c r="B131" s="9" t="s">
        <v>600</v>
      </c>
      <c r="C131" s="9" t="s">
        <v>601</v>
      </c>
      <c r="D131" s="9" t="s">
        <v>602</v>
      </c>
      <c r="E131" s="23" t="s">
        <v>227</v>
      </c>
      <c r="F131" s="15" t="str">
        <f>HYPERLINK("http://alwayspower.com", "alwayspower.com")</f>
        <v>alwayspower.com</v>
      </c>
      <c r="G131" s="9" t="s">
        <v>603</v>
      </c>
      <c r="H131" s="15" t="str">
        <f>HYPERLINK("https://my.pitchbook.com?c=281224-00", "View Company Online")</f>
        <v>View Company Online</v>
      </c>
    </row>
    <row r="132" spans="1:8" x14ac:dyDescent="0.3">
      <c r="A132" s="8" t="s">
        <v>604</v>
      </c>
      <c r="B132" s="8" t="s">
        <v>605</v>
      </c>
      <c r="C132" s="8" t="s">
        <v>606</v>
      </c>
      <c r="D132" s="8" t="s">
        <v>607</v>
      </c>
      <c r="E132" s="22" t="s">
        <v>227</v>
      </c>
      <c r="F132" s="14" t="str">
        <f>HYPERLINK("http://commercialtech.com", "commercialtech.com")</f>
        <v>commercialtech.com</v>
      </c>
      <c r="G132" s="8" t="s">
        <v>608</v>
      </c>
      <c r="H132" s="14" t="str">
        <f>HYPERLINK("https://my.pitchbook.com?c=287634-61", "View Company Online")</f>
        <v>View Company Online</v>
      </c>
    </row>
    <row r="133" spans="1:8" x14ac:dyDescent="0.3">
      <c r="A133" s="9" t="s">
        <v>609</v>
      </c>
      <c r="B133" s="9" t="s">
        <v>610</v>
      </c>
      <c r="C133" s="9" t="s">
        <v>611</v>
      </c>
      <c r="D133" s="9" t="s">
        <v>612</v>
      </c>
      <c r="E133" s="23" t="s">
        <v>227</v>
      </c>
      <c r="F133" s="9" t="s">
        <v>227</v>
      </c>
      <c r="G133" s="9" t="s">
        <v>613</v>
      </c>
      <c r="H133" s="15" t="str">
        <f>HYPERLINK("https://my.pitchbook.com?c=442347-67", "View Company Online")</f>
        <v>View Company Online</v>
      </c>
    </row>
    <row r="134" spans="1:8" x14ac:dyDescent="0.3">
      <c r="A134" s="8" t="s">
        <v>614</v>
      </c>
      <c r="B134" s="8" t="s">
        <v>615</v>
      </c>
      <c r="C134" s="8" t="s">
        <v>616</v>
      </c>
      <c r="D134" s="8" t="s">
        <v>617</v>
      </c>
      <c r="E134" s="22" t="s">
        <v>227</v>
      </c>
      <c r="F134" s="14" t="str">
        <f>HYPERLINK("http://www.glaciantech.com", "www.glaciantech.com")</f>
        <v>www.glaciantech.com</v>
      </c>
      <c r="G134" s="8" t="s">
        <v>618</v>
      </c>
      <c r="H134" s="14" t="str">
        <f>HYPERLINK("https://my.pitchbook.com?c=864330-58", "View Company Online")</f>
        <v>View Company Online</v>
      </c>
    </row>
    <row r="135" spans="1:8" x14ac:dyDescent="0.3">
      <c r="A135" s="9" t="s">
        <v>619</v>
      </c>
      <c r="B135" s="9" t="s">
        <v>620</v>
      </c>
      <c r="C135" s="9" t="s">
        <v>621</v>
      </c>
      <c r="D135" s="9" t="s">
        <v>622</v>
      </c>
      <c r="E135" s="23" t="s">
        <v>227</v>
      </c>
      <c r="F135" s="15" t="str">
        <f>HYPERLINK("http://gtmechanicalaz.com", "gtmechanicalaz.com")</f>
        <v>gtmechanicalaz.com</v>
      </c>
      <c r="G135" s="9" t="s">
        <v>623</v>
      </c>
      <c r="H135" s="15" t="str">
        <f>HYPERLINK("https://my.pitchbook.com?c=1313253-10", "View Company Online")</f>
        <v>View Company Online</v>
      </c>
    </row>
    <row r="136" spans="1:8" x14ac:dyDescent="0.3">
      <c r="A136" s="8" t="s">
        <v>624</v>
      </c>
      <c r="B136" s="8" t="s">
        <v>625</v>
      </c>
      <c r="C136" s="8" t="s">
        <v>626</v>
      </c>
      <c r="D136" s="8" t="s">
        <v>627</v>
      </c>
      <c r="E136" s="22" t="s">
        <v>227</v>
      </c>
      <c r="F136" s="14" t="str">
        <f>HYPERLINK("http://www.iceboxenergy.com", "www.iceboxenergy.com")</f>
        <v>www.iceboxenergy.com</v>
      </c>
      <c r="G136" s="8" t="s">
        <v>628</v>
      </c>
      <c r="H136" s="14" t="str">
        <f>HYPERLINK("https://my.pitchbook.com?c=807567-67", "View Company Online")</f>
        <v>View Company Online</v>
      </c>
    </row>
    <row r="137" spans="1:8" x14ac:dyDescent="0.3">
      <c r="A137" s="9" t="s">
        <v>629</v>
      </c>
      <c r="B137" s="9" t="s">
        <v>630</v>
      </c>
      <c r="C137" s="9" t="s">
        <v>631</v>
      </c>
      <c r="D137" s="9" t="s">
        <v>466</v>
      </c>
      <c r="E137" s="23" t="s">
        <v>227</v>
      </c>
      <c r="F137" s="15" t="str">
        <f>HYPERLINK("http://www.info-cool.net", "www.info-cool.net")</f>
        <v>www.info-cool.net</v>
      </c>
      <c r="G137" s="9" t="s">
        <v>632</v>
      </c>
      <c r="H137" s="15" t="str">
        <f>HYPERLINK("https://my.pitchbook.com?c=898619-23", "View Company Online")</f>
        <v>View Company Online</v>
      </c>
    </row>
    <row r="138" spans="1:8" x14ac:dyDescent="0.3">
      <c r="A138" s="8" t="s">
        <v>633</v>
      </c>
      <c r="B138" s="8" t="s">
        <v>634</v>
      </c>
      <c r="C138" s="8" t="s">
        <v>635</v>
      </c>
      <c r="D138" s="8" t="s">
        <v>636</v>
      </c>
      <c r="E138" s="22" t="s">
        <v>227</v>
      </c>
      <c r="F138" s="14" t="str">
        <f>HYPERLINK("http://jaeggi.ch", "jaeggi.ch")</f>
        <v>jaeggi.ch</v>
      </c>
      <c r="G138" s="8" t="s">
        <v>637</v>
      </c>
      <c r="H138" s="14" t="str">
        <f>HYPERLINK("https://my.pitchbook.com?c=564385-06", "View Company Online")</f>
        <v>View Company Online</v>
      </c>
    </row>
    <row r="139" spans="1:8" x14ac:dyDescent="0.3">
      <c r="A139" s="9" t="s">
        <v>638</v>
      </c>
      <c r="B139" s="9" t="s">
        <v>639</v>
      </c>
      <c r="C139" s="9" t="s">
        <v>640</v>
      </c>
      <c r="D139" s="9" t="s">
        <v>641</v>
      </c>
      <c r="E139" s="23" t="s">
        <v>227</v>
      </c>
      <c r="F139" s="15" t="str">
        <f>HYPERLINK("http://meefog.com", "meefog.com")</f>
        <v>meefog.com</v>
      </c>
      <c r="G139" s="9" t="s">
        <v>642</v>
      </c>
      <c r="H139" s="15" t="str">
        <f>HYPERLINK("https://my.pitchbook.com?c=499303-90", "View Company Online")</f>
        <v>View Company Online</v>
      </c>
    </row>
    <row r="140" spans="1:8" x14ac:dyDescent="0.3">
      <c r="A140" s="8" t="s">
        <v>643</v>
      </c>
      <c r="B140" s="8" t="s">
        <v>644</v>
      </c>
      <c r="C140" s="8" t="s">
        <v>645</v>
      </c>
      <c r="D140" s="8" t="s">
        <v>646</v>
      </c>
      <c r="E140" s="22" t="s">
        <v>227</v>
      </c>
      <c r="F140" s="14" t="str">
        <f>HYPERLINK("http://klimamiskolc.hu", "klimamiskolc.hu")</f>
        <v>klimamiskolc.hu</v>
      </c>
      <c r="G140" s="8" t="s">
        <v>227</v>
      </c>
      <c r="H140" s="14" t="str">
        <f>HYPERLINK("https://my.pitchbook.com?c=633818-80", "View Company Online")</f>
        <v>View Company Online</v>
      </c>
    </row>
    <row r="141" spans="1:8" x14ac:dyDescent="0.3">
      <c r="A141" s="9" t="s">
        <v>647</v>
      </c>
      <c r="B141" s="9" t="s">
        <v>648</v>
      </c>
      <c r="C141" s="9" t="s">
        <v>649</v>
      </c>
      <c r="D141" s="9" t="s">
        <v>650</v>
      </c>
      <c r="E141" s="23" t="s">
        <v>227</v>
      </c>
      <c r="F141" s="9" t="s">
        <v>227</v>
      </c>
      <c r="G141" s="9" t="s">
        <v>651</v>
      </c>
      <c r="H141" s="15" t="str">
        <f>HYPERLINK("https://my.pitchbook.com?c=1167631-57", "View Company Online")</f>
        <v>View Company Online</v>
      </c>
    </row>
    <row r="142" spans="1:8" x14ac:dyDescent="0.3">
      <c r="A142" s="8" t="s">
        <v>652</v>
      </c>
      <c r="B142" s="8" t="s">
        <v>653</v>
      </c>
      <c r="C142" s="8" t="s">
        <v>654</v>
      </c>
      <c r="D142" s="8" t="s">
        <v>337</v>
      </c>
      <c r="E142" s="22" t="s">
        <v>227</v>
      </c>
      <c r="F142" s="14" t="str">
        <f>HYPERLINK("http://thiele-kaeltetechnik.de", "thiele-kaeltetechnik.de")</f>
        <v>thiele-kaeltetechnik.de</v>
      </c>
      <c r="G142" s="8" t="s">
        <v>227</v>
      </c>
      <c r="H142" s="14" t="str">
        <f>HYPERLINK("https://my.pitchbook.com?c=655303-51", "View Company Online")</f>
        <v>View Company Online</v>
      </c>
    </row>
    <row r="144" spans="1:8" x14ac:dyDescent="0.3">
      <c r="A144" s="32" t="s">
        <v>655</v>
      </c>
    </row>
  </sheetData>
  <mergeCells count="1">
    <mergeCell ref="B6:D6"/>
  </mergeCells>
  <hyperlinks>
    <hyperlink ref="B5"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6"/>
  <sheetViews>
    <sheetView workbookViewId="0"/>
  </sheetViews>
  <sheetFormatPr defaultRowHeight="14.4" x14ac:dyDescent="0.3"/>
  <sheetData>
    <row r="1" spans="1:1" x14ac:dyDescent="0.3">
      <c r="A1" s="8"/>
    </row>
    <row r="2" spans="1:1" x14ac:dyDescent="0.3">
      <c r="A2" s="9"/>
    </row>
    <row r="3" spans="1:1" x14ac:dyDescent="0.3">
      <c r="A3" s="10"/>
    </row>
    <row r="4" spans="1:1" x14ac:dyDescent="0.3">
      <c r="A4" s="11"/>
    </row>
    <row r="5" spans="1:1" x14ac:dyDescent="0.3">
      <c r="A5" s="12"/>
    </row>
    <row r="6" spans="1:1" x14ac:dyDescent="0.3">
      <c r="A6" s="13"/>
    </row>
    <row r="7" spans="1:1" x14ac:dyDescent="0.3">
      <c r="A7" s="14"/>
    </row>
    <row r="8" spans="1:1" x14ac:dyDescent="0.3">
      <c r="A8" s="15"/>
    </row>
    <row r="9" spans="1:1" x14ac:dyDescent="0.3">
      <c r="A9" s="16"/>
    </row>
    <row r="10" spans="1:1" x14ac:dyDescent="0.3">
      <c r="A10" s="17"/>
    </row>
    <row r="11" spans="1:1" x14ac:dyDescent="0.3">
      <c r="A11" s="18"/>
    </row>
    <row r="12" spans="1:1" x14ac:dyDescent="0.3">
      <c r="A12" s="19"/>
    </row>
    <row r="13" spans="1:1" x14ac:dyDescent="0.3">
      <c r="A13" s="8"/>
    </row>
    <row r="14" spans="1:1" x14ac:dyDescent="0.3">
      <c r="A14" s="9"/>
    </row>
    <row r="15" spans="1:1" x14ac:dyDescent="0.3">
      <c r="A15" s="10"/>
    </row>
    <row r="16" spans="1:1" x14ac:dyDescent="0.3">
      <c r="A16" s="11"/>
    </row>
    <row r="17" spans="1:1" x14ac:dyDescent="0.3">
      <c r="A17" s="12"/>
    </row>
    <row r="18" spans="1:1" x14ac:dyDescent="0.3">
      <c r="A18" s="13"/>
    </row>
    <row r="19" spans="1:1" x14ac:dyDescent="0.3">
      <c r="A19" s="14"/>
    </row>
    <row r="20" spans="1:1" x14ac:dyDescent="0.3">
      <c r="A20" s="15"/>
    </row>
    <row r="21" spans="1:1" x14ac:dyDescent="0.3">
      <c r="A21" s="16"/>
    </row>
    <row r="22" spans="1:1" x14ac:dyDescent="0.3">
      <c r="A22" s="17"/>
    </row>
    <row r="23" spans="1:1" x14ac:dyDescent="0.3">
      <c r="A23" s="18"/>
    </row>
    <row r="24" spans="1:1" x14ac:dyDescent="0.3">
      <c r="A24" s="19"/>
    </row>
    <row r="25" spans="1:1" x14ac:dyDescent="0.3">
      <c r="A25" s="20"/>
    </row>
    <row r="26" spans="1:1" x14ac:dyDescent="0.3">
      <c r="A26" s="21"/>
    </row>
    <row r="27" spans="1:1" x14ac:dyDescent="0.3">
      <c r="A27" s="22"/>
    </row>
    <row r="28" spans="1:1" x14ac:dyDescent="0.3">
      <c r="A28" s="23"/>
    </row>
    <row r="29" spans="1:1" x14ac:dyDescent="0.3">
      <c r="A29" s="24"/>
    </row>
    <row r="30" spans="1:1" x14ac:dyDescent="0.3">
      <c r="A30" s="25"/>
    </row>
    <row r="31" spans="1:1" x14ac:dyDescent="0.3">
      <c r="A31" s="26"/>
    </row>
    <row r="32" spans="1:1" x14ac:dyDescent="0.3">
      <c r="A32" s="27"/>
    </row>
    <row r="33" spans="1:1" x14ac:dyDescent="0.3">
      <c r="A33" s="28"/>
    </row>
    <row r="34" spans="1:1" x14ac:dyDescent="0.3">
      <c r="A34" s="29"/>
    </row>
    <row r="35" spans="1:1" x14ac:dyDescent="0.3">
      <c r="A35" s="30"/>
    </row>
    <row r="36" spans="1:1" x14ac:dyDescent="0.3">
      <c r="A36"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showGridLines="0" workbookViewId="0"/>
  </sheetViews>
  <sheetFormatPr defaultRowHeight="14.4" x14ac:dyDescent="0.3"/>
  <cols>
    <col min="1" max="1" width="10.5546875" customWidth="1"/>
    <col min="2" max="2" width="49.109375" customWidth="1"/>
    <col min="3" max="3" width="27.6640625" customWidth="1"/>
    <col min="4" max="4" width="4.5546875" customWidth="1"/>
    <col min="5" max="5" width="22.109375" customWidth="1"/>
  </cols>
  <sheetData>
    <row r="1" spans="1:5" ht="21" x14ac:dyDescent="0.3">
      <c r="A1" s="33" t="s">
        <v>656</v>
      </c>
    </row>
    <row r="3" spans="1:5" ht="15" x14ac:dyDescent="0.3">
      <c r="A3" s="34" t="s">
        <v>657</v>
      </c>
    </row>
    <row r="4" spans="1:5" ht="15" x14ac:dyDescent="0.3">
      <c r="A4" s="35" t="s">
        <v>658</v>
      </c>
    </row>
    <row r="6" spans="1:5" ht="15" x14ac:dyDescent="0.3">
      <c r="A6" s="34" t="s">
        <v>659</v>
      </c>
      <c r="C6" s="35" t="s">
        <v>660</v>
      </c>
      <c r="E6" s="34" t="s">
        <v>661</v>
      </c>
    </row>
    <row r="8" spans="1:5" ht="15" x14ac:dyDescent="0.3">
      <c r="A8" s="34" t="s">
        <v>662</v>
      </c>
    </row>
    <row r="9" spans="1:5" ht="15" x14ac:dyDescent="0.3">
      <c r="A9" s="36" t="s">
        <v>663</v>
      </c>
      <c r="B9" s="34" t="s">
        <v>664</v>
      </c>
    </row>
    <row r="10" spans="1:5" ht="15" x14ac:dyDescent="0.3">
      <c r="A10" s="36" t="s">
        <v>665</v>
      </c>
      <c r="B10" s="34" t="s">
        <v>666</v>
      </c>
    </row>
    <row r="11" spans="1:5" ht="15" x14ac:dyDescent="0.3">
      <c r="A11" s="36" t="s">
        <v>667</v>
      </c>
      <c r="B11" s="34" t="s">
        <v>668</v>
      </c>
    </row>
    <row r="13" spans="1:5" ht="15" x14ac:dyDescent="0.3">
      <c r="A13" s="34" t="s">
        <v>669</v>
      </c>
      <c r="B13" s="35" t="s">
        <v>658</v>
      </c>
    </row>
    <row r="15" spans="1:5" x14ac:dyDescent="0.3">
      <c r="A15" s="32" t="s">
        <v>655</v>
      </c>
    </row>
  </sheetData>
  <sheetProtection algorithmName="SHA-512" hashValue="xQM96sXzISF6DwGJu5CxfPtnITs7WnDYhyo2nY5vfzbr9SY4UXJtc7f9F4H6LgBDJQ4Fb1vcvWhs31UYMdyZ7A==" saltValue="vVHJQffTMJbBqvtoGfno5w==" spinCount="100000" sheet="1" objects="1" scenarios="1"/>
  <hyperlinks>
    <hyperlink ref="A4" r:id="rId1" xr:uid="{00000000-0004-0000-0200-000000000000}"/>
    <hyperlink ref="C6" r:id="rId2" xr:uid="{00000000-0004-0000-0200-000001000000}"/>
    <hyperlink ref="B13" r:id="rId3" xr:uid="{00000000-0004-0000-02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Eszter Mádai</dc:creator>
  <cp:lastModifiedBy>Eszter Mádai</cp:lastModifiedBy>
  <dcterms:created xsi:type="dcterms:W3CDTF">2026-05-21T12:57:47Z</dcterms:created>
  <dcterms:modified xsi:type="dcterms:W3CDTF">2026-05-21T12:57:47Z</dcterms:modified>
</cp:coreProperties>
</file>